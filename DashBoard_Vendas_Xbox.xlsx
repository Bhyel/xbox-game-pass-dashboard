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E5FAAE-A561-4127-BFCD-0574776A66A0}" xr6:coauthVersionLast="36" xr6:coauthVersionMax="36" xr10:uidLastSave="{00000000-0000-0000-0000-000000000000}"/>
  <bookViews>
    <workbookView xWindow="0" yWindow="0" windowWidth="20490" windowHeight="754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NativeTimeline_Start_Date">#N/A</definedName>
    <definedName name="SegmentaçãodeDados_EA_Play_Season_Pass">#N/A</definedName>
    <definedName name="SegmentaçãodeDados_Minecraft_Season_Pass">#N/A</definedName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  <c r="U5" i="3" l="1"/>
  <c r="P5" i="3"/>
</calcChain>
</file>

<file path=xl/sharedStrings.xml><?xml version="1.0" encoding="utf-8"?>
<sst xmlns="http://schemas.openxmlformats.org/spreadsheetml/2006/main" count="1854" uniqueCount="339">
  <si>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</si>
  <si>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</si>
  <si>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</si>
  <si>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</si>
  <si>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</si>
  <si>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</si>
  <si>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</si>
  <si>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</si>
  <si>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</si>
  <si>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</si>
  <si>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</si>
  <si>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</si>
  <si>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</si>
  <si>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</si>
  <si>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</si>
  <si>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</si>
  <si>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</si>
  <si>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</si>
  <si>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</si>
  <si>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</si>
  <si>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</si>
  <si>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</si>
  <si>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</si>
  <si>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</si>
  <si>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</si>
  <si>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</si>
  <si>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</si>
  <si>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</si>
  <si>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</si>
  <si>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</si>
  <si>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</si>
  <si>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</si>
  <si>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</si>
  <si>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</si>
  <si>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</si>
  <si>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</si>
  <si>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</si>
  <si>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</si>
  <si>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</si>
  <si>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</si>
  <si>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</si>
  <si>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</si>
  <si>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</si>
  <si>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</si>
  <si>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</si>
  <si>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</si>
  <si>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</si>
  <si>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</si>
  <si>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</si>
  <si>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</si>
  <si>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</si>
  <si>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</si>
  <si>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</si>
  <si>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</si>
  <si>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</si>
  <si>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</si>
  <si>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</si>
  <si>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</si>
  <si>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</si>
  <si>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</si>
  <si>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</si>
  <si>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</si>
  <si>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</si>
  <si>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</si>
  <si>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</si>
  <si>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</si>
  <si>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</si>
  <si>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</si>
  <si>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</si>
  <si>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</si>
  <si>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</si>
  <si>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</si>
  <si>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</si>
  <si>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</si>
  <si>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</si>
  <si>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</si>
  <si>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</si>
  <si>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</si>
  <si>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</si>
  <si>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</si>
  <si>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</si>
  <si>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</si>
  <si>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</si>
  <si>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</si>
  <si>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</si>
  <si>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</si>
  <si>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</si>
  <si>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</si>
  <si>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</si>
  <si>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</si>
  <si>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</si>
  <si>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</si>
  <si>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</si>
  <si>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</si>
  <si>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</si>
  <si>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</si>
  <si>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</si>
  <si>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</si>
  <si>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</si>
  <si>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</si>
  <si>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</si>
  <si>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</si>
  <si>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</si>
  <si>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</si>
  <si>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</si>
  <si>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</si>
  <si>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</si>
  <si>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</si>
  <si>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</si>
  <si>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</si>
  <si>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</si>
  <si>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</si>
  <si>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</si>
  <si>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</si>
  <si>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</si>
  <si>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</si>
  <si>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</si>
  <si>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</si>
  <si>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</si>
  <si>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</si>
  <si>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</si>
  <si>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</si>
  <si>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</si>
  <si>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</si>
  <si>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</si>
  <si>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</si>
  <si>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</si>
  <si>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</si>
  <si>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</si>
  <si>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</si>
  <si>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</si>
  <si>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</si>
  <si>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</si>
  <si>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</si>
  <si>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</si>
  <si>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</si>
  <si>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</si>
  <si>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</si>
  <si>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</si>
  <si>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</si>
  <si>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</si>
  <si>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</si>
  <si>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</si>
  <si>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</si>
  <si>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</si>
  <si>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</si>
  <si>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</si>
  <si>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</si>
  <si>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</si>
  <si>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</si>
  <si>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</si>
  <si>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</si>
  <si>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</si>
  <si>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</si>
  <si>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</si>
  <si>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</si>
  <si>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</si>
  <si>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</si>
  <si>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</si>
  <si>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</si>
  <si>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</si>
  <si>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</si>
  <si>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</si>
  <si>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</si>
  <si>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</si>
  <si>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</si>
  <si>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</si>
  <si>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</si>
  <si>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</si>
  <si>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</si>
  <si>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</si>
  <si>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</si>
  <si>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</si>
  <si>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</si>
  <si>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</si>
  <si>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</si>
  <si>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</si>
  <si>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</si>
  <si>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</si>
  <si>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</si>
  <si>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</si>
  <si>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</si>
  <si>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</si>
  <si>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</si>
  <si>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</si>
  <si>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</si>
  <si>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</si>
  <si>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</si>
  <si>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</si>
  <si>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</si>
  <si>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</si>
  <si>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</si>
  <si>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</si>
  <si>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</si>
  <si>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</si>
  <si>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</si>
  <si>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</si>
  <si>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</si>
  <si>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</si>
  <si>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</si>
  <si>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</si>
  <si>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</si>
  <si>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</si>
  <si>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</si>
  <si>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</si>
  <si>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</si>
  <si>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</si>
  <si>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</si>
  <si>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</si>
  <si>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</si>
  <si>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</si>
  <si>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</si>
  <si>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</si>
  <si>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</si>
  <si>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</si>
  <si>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</si>
  <si>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</si>
  <si>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</si>
  <si>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</si>
  <si>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</si>
  <si>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</si>
  <si>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</si>
  <si>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</si>
  <si>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</si>
  <si>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</si>
  <si>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</si>
  <si>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</si>
  <si>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</si>
  <si>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</si>
  <si>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</si>
  <si>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</si>
  <si>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</si>
  <si>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</si>
  <si>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</si>
  <si>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</si>
  <si>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</si>
  <si>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</si>
  <si>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</si>
  <si>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</si>
  <si>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</si>
  <si>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</si>
  <si>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</si>
  <si>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</si>
  <si>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</si>
  <si>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</si>
  <si>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</si>
  <si>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</si>
  <si>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</si>
  <si>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</si>
  <si>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</si>
  <si>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</si>
  <si>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</si>
  <si>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</si>
  <si>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</si>
  <si>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</si>
  <si>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</si>
  <si>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</si>
  <si>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</si>
  <si>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</si>
  <si>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</si>
  <si>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</si>
  <si>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</si>
  <si>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</si>
  <si>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</si>
  <si>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</si>
  <si>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</si>
  <si>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</si>
  <si>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</si>
  <si>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</si>
  <si>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</si>
  <si>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</si>
  <si>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</si>
  <si>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</si>
  <si>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</si>
  <si>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</si>
  <si>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</si>
  <si>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</si>
  <si>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</si>
  <si>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</si>
  <si>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</si>
  <si>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</si>
  <si>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</si>
  <si>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</si>
  <si>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</si>
  <si>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</si>
  <si>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</si>
  <si>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</si>
  <si>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</si>
  <si>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</si>
  <si>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</si>
  <si>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</si>
  <si>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</si>
  <si>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</si>
  <si>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</si>
  <si>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</si>
  <si>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</si>
  <si>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</si>
  <si>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</si>
  <si>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</si>
  <si>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</si>
  <si>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</si>
  <si>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</si>
  <si>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</si>
  <si>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</si>
  <si>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</si>
  <si>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</si>
  <si>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</si>
  <si>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</si>
  <si>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</si>
  <si>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</si>
  <si>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</si>
  <si>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</si>
  <si>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</si>
  <si>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</si>
  <si>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Total Geral</t>
  </si>
  <si>
    <t>(Tudo)</t>
  </si>
  <si>
    <t>Soma de Total Value</t>
  </si>
  <si>
    <t>Rótulos de Linha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</si>
  <si>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</si>
  <si>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</si>
  <si>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</si>
  <si>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</si>
  <si>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Quantidade Auto Renewal</t>
  </si>
  <si>
    <t>Pergunta Negócio 5 - Qual a Aderencia a Renovação Automatica?</t>
  </si>
  <si>
    <t xml:space="preserve">  GAME PASS SUBSCRIPTIONS SALES</t>
  </si>
  <si>
    <t>Pergunta Negócio 5 - Qual a Quantidade de Subscription Type?</t>
  </si>
  <si>
    <t>Contagem de Subscription Type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</si>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</sst>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5"/>
      <color theme="3"/>
      <name val="Segoe UI"/>
      <family val="2"/>
    </font>
    <font>
      <sz val="15"/>
      <color theme="6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22C55E"/>
      </right>
      <top/>
      <bottom/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/>
    <xf numFmtId="2" fontId="0" fillId="0" borderId="0" xfId="0" applyNumberFormat="1"/>
    <xf numFmtId="0" fontId="4" fillId="7" borderId="0" xfId="0" applyFont="1" applyFill="1"/>
    <xf numFmtId="0" fontId="0" fillId="4" borderId="3" xfId="0" applyFill="1" applyBorder="1"/>
    <xf numFmtId="0" fontId="5" fillId="0" borderId="4" xfId="1" applyFont="1" applyBorder="1"/>
    <xf numFmtId="0" fontId="6" fillId="0" borderId="4" xfId="1" applyFont="1" applyBorder="1" applyAlignment="1">
      <alignment horizontal="left" indent="7"/>
    </xf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2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 val="0"/>
        <i val="0"/>
        <sz val="10"/>
        <color theme="0"/>
        <name val="Segoe UI"/>
        <family val="2"/>
        <scheme val="none"/>
      </font>
      <border>
        <bottom/>
        <vertical/>
        <horizontal/>
      </border>
    </dxf>
    <dxf>
      <font>
        <b val="0"/>
        <i val="0"/>
        <sz val="10"/>
        <color theme="0"/>
        <name val="Segoe UI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PadrãoXbpx" pivot="0" table="0" count="10" xr9:uid="{923FCA81-F687-48F3-BA45-CE77814C83A5}">
      <tableStyleElement type="wholeTable" dxfId="23"/>
      <tableStyleElement type="headerRow" dxfId="22"/>
    </tableStyle>
    <tableStyle name="TimeSlicerStyleLight6 2" pivot="0" table="0" count="9" xr9:uid="{F3778185-439A-4965-A7DB-F144B18C5081}">
      <tableStyleElement type="wholeTable" dxfId="21"/>
      <tableStyleElement type="headerRow" dxfId="20"/>
    </tableStyle>
  </tableStyles>
  <colors>
    <mruColors>
      <color rgb="FF9BC848"/>
      <color rgb="FF22C55E"/>
      <color rgb="FF5BF6A8"/>
      <color rgb="FFE8E6E9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22C55E"/>
            </left>
            <right style="thin">
              <color rgb="FF22C55E"/>
            </right>
            <top style="thin">
              <color rgb="FF22C55E"/>
            </top>
            <bottom style="thin">
              <color rgb="FF22C55E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 tint="0.39991454817346722"/>
              <bgColor theme="6" tint="0.3999450666829432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22C55E"/>
            </left>
            <right style="thin">
              <color rgb="FF22C55E"/>
            </right>
            <top style="thin">
              <color rgb="FF22C55E"/>
            </top>
            <bottom style="thin">
              <color rgb="FF22C55E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0" tint="-0.14996795556505021"/>
            </patternFill>
          </fill>
          <border>
            <left style="thin">
              <color rgb="FF22C55E"/>
            </left>
            <right style="thin">
              <color rgb="FF22C55E"/>
            </right>
            <top style="thin">
              <color rgb="FF22C55E"/>
            </top>
            <bottom style="thin">
              <color rgb="FF22C55E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adrãoXbp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9" tint="0.39997558519241921"/>
              <bgColor theme="9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9" tint="0.59999389629810485"/>
              </stop>
              <stop position="1">
                <color theme="9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9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6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22C55E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2"/>
      </c:pivotFmt>
      <c:pivotFmt>
        <c:idx val="13"/>
      </c:pivotFmt>
    </c:pivotFmts>
    <c:plotArea>
      <c:layout>
        <c:manualLayout>
          <c:layoutTarget val="inner"/>
          <c:xMode val="edge"/>
          <c:yMode val="edge"/>
          <c:x val="0.10613725284339459"/>
          <c:y val="0.12151003659753801"/>
          <c:w val="0.81989808075029635"/>
          <c:h val="0.74441836874482203"/>
        </c:manualLayout>
      </c:layout>
      <c:pieChart>
        <c:varyColors val="1"/>
        <c:ser>
          <c:idx val="0"/>
          <c:order val="0"/>
          <c:tx>
            <c:strRef>
              <c:f>C̳álculos!$X$10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E2-4E9C-86E0-356E7B792614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E2-4E9C-86E0-356E7B792614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C̳álculos!$W$11:$W$13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C̳álculos!$X$11:$X$13</c:f>
              <c:numCache>
                <c:formatCode>0.00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E2-4E9C-86E0-356E7B7926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BC8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E1-433F-AC15-AD0BE4C13F82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1-433F-AC15-AD0BE4C13F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1-433F-AC15-AD0BE4C13F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6819424"/>
        <c:axId val="689202176"/>
      </c:barChart>
      <c:catAx>
        <c:axId val="76681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9202176"/>
        <c:crosses val="autoZero"/>
        <c:auto val="1"/>
        <c:lblAlgn val="ctr"/>
        <c:lblOffset val="100"/>
        <c:noMultiLvlLbl val="0"/>
      </c:catAx>
      <c:valAx>
        <c:axId val="68920217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6681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 algn="ctr">
        <a:defRPr lang="pt-BR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[DashBoard_Vendas_Xbox.xlsx]C̳álculos!Tabela dinâmica5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C̳álculos!$AB$9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C̳álculos!$AA$10:$AA$13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C̳álculos!$AB$10:$AB$13</c:f>
              <c:numCache>
                <c:formatCode>0.00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6-4923-A9D4-F7066E8DD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8355216"/>
        <c:axId val="541107200"/>
      </c:barChart>
      <c:catAx>
        <c:axId val="53835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107200"/>
        <c:crosses val="autoZero"/>
        <c:auto val="1"/>
        <c:lblAlgn val="ctr"/>
        <c:lblOffset val="100"/>
        <c:noMultiLvlLbl val="0"/>
      </c:catAx>
      <c:valAx>
        <c:axId val="54110720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538355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7.png"/><Relationship Id="rId7" Type="http://schemas.openxmlformats.org/officeDocument/2006/relationships/chart" Target="../charts/chart1.xml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12</xdr:row>
      <xdr:rowOff>0</xdr:rowOff>
    </xdr:from>
    <xdr:to>
      <xdr:col>11</xdr:col>
      <xdr:colOff>304800</xdr:colOff>
      <xdr:row>13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13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12</xdr:row>
      <xdr:rowOff>0</xdr:rowOff>
    </xdr:from>
    <xdr:ext cx="304800" cy="295275"/>
    <xdr:sp macro="" textlink="">
      <xdr:nvSpPr>
        <xdr:cNvPr id="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2FC8EE11-4952-41A6-A357-877F4C6D7462}"/>
            </a:ext>
          </a:extLst>
        </xdr:cNvPr>
        <xdr:cNvSpPr>
          <a:spLocks noChangeAspect="1" noChangeArrowheads="1"/>
        </xdr:cNvSpPr>
      </xdr:nvSpPr>
      <xdr:spPr bwMode="auto">
        <a:xfrm>
          <a:off x="10191750" y="21907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12</xdr:row>
      <xdr:rowOff>0</xdr:rowOff>
    </xdr:from>
    <xdr:ext cx="304800" cy="295275"/>
    <xdr:sp macro="" textlink="">
      <xdr:nvSpPr>
        <xdr:cNvPr id="5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781FE0E3-DF13-4011-8B77-5C1305BB8C72}"/>
            </a:ext>
          </a:extLst>
        </xdr:cNvPr>
        <xdr:cNvSpPr>
          <a:spLocks noChangeAspect="1" noChangeArrowheads="1"/>
        </xdr:cNvSpPr>
      </xdr:nvSpPr>
      <xdr:spPr bwMode="auto">
        <a:xfrm>
          <a:off x="16478250" y="21907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11</xdr:row>
      <xdr:rowOff>0</xdr:rowOff>
    </xdr:from>
    <xdr:ext cx="304800" cy="295275"/>
    <xdr:sp macro="" textlink="">
      <xdr:nvSpPr>
        <xdr:cNvPr id="8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93F7852-74FA-4046-9F4E-659642588BBE}"/>
            </a:ext>
          </a:extLst>
        </xdr:cNvPr>
        <xdr:cNvSpPr>
          <a:spLocks noChangeAspect="1" noChangeArrowheads="1"/>
        </xdr:cNvSpPr>
      </xdr:nvSpPr>
      <xdr:spPr bwMode="auto">
        <a:xfrm>
          <a:off x="22136100" y="21907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182562</xdr:colOff>
      <xdr:row>1</xdr:row>
      <xdr:rowOff>85723</xdr:rowOff>
    </xdr:from>
    <xdr:to>
      <xdr:col>4</xdr:col>
      <xdr:colOff>268769</xdr:colOff>
      <xdr:row>3</xdr:row>
      <xdr:rowOff>50004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E38F34-BBBF-4D9C-BB01-ED0A52EB8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0462" y="339723"/>
          <a:ext cx="1457807" cy="45958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105569</xdr:rowOff>
    </xdr:from>
    <xdr:to>
      <xdr:col>0</xdr:col>
      <xdr:colOff>1968499</xdr:colOff>
      <xdr:row>14</xdr:row>
      <xdr:rowOff>168275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EBC48C9-CCF7-4317-ADE1-1F35768A0D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78769"/>
              <a:ext cx="1968499" cy="13073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523875</xdr:colOff>
      <xdr:row>1</xdr:row>
      <xdr:rowOff>4310</xdr:rowOff>
    </xdr:from>
    <xdr:to>
      <xdr:col>0</xdr:col>
      <xdr:colOff>1297781</xdr:colOff>
      <xdr:row>4</xdr:row>
      <xdr:rowOff>19050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3EACBCC4-CB8A-4B74-9689-B1DE41D2EEE9}"/>
            </a:ext>
          </a:extLst>
        </xdr:cNvPr>
        <xdr:cNvSpPr/>
      </xdr:nvSpPr>
      <xdr:spPr>
        <a:xfrm>
          <a:off x="523875" y="250033"/>
          <a:ext cx="773906" cy="702467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  <a:effectLst>
          <a:outerShdw blurRad="63500" sx="102000" sy="102000" algn="ctr" rotWithShape="0">
            <a:schemeClr val="bg1"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71438</xdr:colOff>
      <xdr:row>5</xdr:row>
      <xdr:rowOff>19049</xdr:rowOff>
    </xdr:from>
    <xdr:to>
      <xdr:col>0</xdr:col>
      <xdr:colOff>1649867</xdr:colOff>
      <xdr:row>6</xdr:row>
      <xdr:rowOff>74088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F10DA25-2D16-4475-8275-C4328C10112F}"/>
            </a:ext>
          </a:extLst>
        </xdr:cNvPr>
        <xdr:cNvSpPr/>
      </xdr:nvSpPr>
      <xdr:spPr>
        <a:xfrm>
          <a:off x="71438" y="1131093"/>
          <a:ext cx="1578429" cy="2336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 Bem vinda, Liana</a:t>
          </a:r>
        </a:p>
      </xdr:txBody>
    </xdr:sp>
    <xdr:clientData/>
  </xdr:twoCellAnchor>
  <xdr:twoCellAnchor editAs="absolute">
    <xdr:from>
      <xdr:col>0</xdr:col>
      <xdr:colOff>0</xdr:colOff>
      <xdr:row>14</xdr:row>
      <xdr:rowOff>129382</xdr:rowOff>
    </xdr:from>
    <xdr:to>
      <xdr:col>0</xdr:col>
      <xdr:colOff>1964530</xdr:colOff>
      <xdr:row>21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lan">
              <a:extLst>
                <a:ext uri="{FF2B5EF4-FFF2-40B4-BE49-F238E27FC236}">
                  <a16:creationId xmlns:a16="http://schemas.microsoft.com/office/drawing/2014/main" id="{55DAB040-59DA-4D80-8EC8-B3B6810447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47182"/>
              <a:ext cx="1964530" cy="12326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357187</xdr:colOff>
      <xdr:row>9</xdr:row>
      <xdr:rowOff>71437</xdr:rowOff>
    </xdr:from>
    <xdr:to>
      <xdr:col>8</xdr:col>
      <xdr:colOff>416719</xdr:colOff>
      <xdr:row>20</xdr:row>
      <xdr:rowOff>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15882596-0135-42CC-8231-50FE6310316F}"/>
            </a:ext>
          </a:extLst>
        </xdr:cNvPr>
        <xdr:cNvGrpSpPr/>
      </xdr:nvGrpSpPr>
      <xdr:grpSpPr>
        <a:xfrm>
          <a:off x="2607468" y="1893093"/>
          <a:ext cx="4202907" cy="1893095"/>
          <a:chOff x="2607468" y="1821656"/>
          <a:chExt cx="4202907" cy="1893094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B0693383-BB8F-4DC4-B8C3-0A1542CC140F}"/>
              </a:ext>
            </a:extLst>
          </xdr:cNvPr>
          <xdr:cNvSpPr/>
        </xdr:nvSpPr>
        <xdr:spPr>
          <a:xfrm>
            <a:off x="2607468" y="1821656"/>
            <a:ext cx="4202907" cy="1893094"/>
          </a:xfrm>
          <a:prstGeom prst="roundRect">
            <a:avLst>
              <a:gd name="adj" fmla="val 50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54E6BDE-393B-4C3D-A09C-50A44841A2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7969" y="2345532"/>
            <a:ext cx="1371600" cy="1200150"/>
          </a:xfrm>
          <a:prstGeom prst="rect">
            <a:avLst/>
          </a:prstGeom>
        </xdr:spPr>
      </xdr:pic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74AC3816-E514-4A9B-9529-53A576692B4E}"/>
              </a:ext>
            </a:extLst>
          </xdr:cNvPr>
          <xdr:cNvCxnSpPr/>
        </xdr:nvCxnSpPr>
        <xdr:spPr>
          <a:xfrm>
            <a:off x="2821781" y="2309814"/>
            <a:ext cx="3512344" cy="11905"/>
          </a:xfrm>
          <a:prstGeom prst="line">
            <a:avLst/>
          </a:prstGeom>
          <a:ln w="3175"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A11ABA23-1CC0-4F4E-96EC-FD1EE2C299DC}"/>
              </a:ext>
            </a:extLst>
          </xdr:cNvPr>
          <xdr:cNvSpPr txBox="1"/>
        </xdr:nvSpPr>
        <xdr:spPr>
          <a:xfrm>
            <a:off x="2762249" y="2047874"/>
            <a:ext cx="2976563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accent3"/>
                </a:solidFill>
                <a:effectLst/>
                <a:latin typeface="+mn-lt"/>
                <a:ea typeface="+mn-ea"/>
                <a:cs typeface="+mn-cs"/>
              </a:rPr>
              <a:t>TOTAL SUBSCRIPTIONS EA PLAY SEASON PASS</a:t>
            </a:r>
            <a:endParaRPr lang="pt-BR">
              <a:solidFill>
                <a:schemeClr val="accent3"/>
              </a:solidFill>
              <a:effectLst/>
            </a:endParaRPr>
          </a:p>
          <a:p>
            <a:endParaRPr lang="pt-BR" sz="1100">
              <a:solidFill>
                <a:schemeClr val="accent3"/>
              </a:solidFill>
            </a:endParaRPr>
          </a:p>
        </xdr:txBody>
      </xdr:sp>
      <xdr:sp macro="" textlink="C̳álculos!P5">
        <xdr:nvSpPr>
          <xdr:cNvPr id="18" name="CaixaDeTexto 17">
            <a:extLst>
              <a:ext uri="{FF2B5EF4-FFF2-40B4-BE49-F238E27FC236}">
                <a16:creationId xmlns:a16="http://schemas.microsoft.com/office/drawing/2014/main" id="{7DE03A79-FCE2-4952-A760-4FB04F3D2B9F}"/>
              </a:ext>
            </a:extLst>
          </xdr:cNvPr>
          <xdr:cNvSpPr txBox="1"/>
        </xdr:nvSpPr>
        <xdr:spPr>
          <a:xfrm>
            <a:off x="4036211" y="2619374"/>
            <a:ext cx="2667008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E0F9200C-F993-41E1-A4AB-33F3FDF26DC7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R$ 2.940,00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116681</xdr:colOff>
      <xdr:row>9</xdr:row>
      <xdr:rowOff>80962</xdr:rowOff>
    </xdr:from>
    <xdr:to>
      <xdr:col>15</xdr:col>
      <xdr:colOff>366713</xdr:colOff>
      <xdr:row>20</xdr:row>
      <xdr:rowOff>9525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C494348-9FC2-448C-88AE-11D1ACC03A63}"/>
            </a:ext>
          </a:extLst>
        </xdr:cNvPr>
        <xdr:cNvGrpSpPr/>
      </xdr:nvGrpSpPr>
      <xdr:grpSpPr>
        <a:xfrm>
          <a:off x="7200900" y="1902618"/>
          <a:ext cx="4202907" cy="1893095"/>
          <a:chOff x="2607468" y="1821656"/>
          <a:chExt cx="4202907" cy="189309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F3B512A7-F222-441B-9A36-7D756C742612}"/>
              </a:ext>
            </a:extLst>
          </xdr:cNvPr>
          <xdr:cNvSpPr/>
        </xdr:nvSpPr>
        <xdr:spPr>
          <a:xfrm>
            <a:off x="2607468" y="1821656"/>
            <a:ext cx="4202907" cy="1893094"/>
          </a:xfrm>
          <a:prstGeom prst="roundRect">
            <a:avLst>
              <a:gd name="adj" fmla="val 50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17" name="Conector reto 16">
            <a:extLst>
              <a:ext uri="{FF2B5EF4-FFF2-40B4-BE49-F238E27FC236}">
                <a16:creationId xmlns:a16="http://schemas.microsoft.com/office/drawing/2014/main" id="{4A513E04-02C2-4660-9230-65A698334FD4}"/>
              </a:ext>
            </a:extLst>
          </xdr:cNvPr>
          <xdr:cNvCxnSpPr/>
        </xdr:nvCxnSpPr>
        <xdr:spPr>
          <a:xfrm>
            <a:off x="2821781" y="2309814"/>
            <a:ext cx="3512344" cy="11905"/>
          </a:xfrm>
          <a:prstGeom prst="line">
            <a:avLst/>
          </a:prstGeom>
          <a:ln w="3175"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398293E9-0C89-495B-B2AA-A7E85D89BADC}"/>
              </a:ext>
            </a:extLst>
          </xdr:cNvPr>
          <xdr:cNvSpPr txBox="1"/>
        </xdr:nvSpPr>
        <xdr:spPr>
          <a:xfrm>
            <a:off x="2762249" y="2047874"/>
            <a:ext cx="2976563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accent3"/>
                </a:solidFill>
                <a:effectLst/>
                <a:latin typeface="+mn-lt"/>
                <a:ea typeface="+mn-ea"/>
                <a:cs typeface="+mn-cs"/>
              </a:rPr>
              <a:t>TOTAL SUBSCRIPTIONS EA PLAY SEASON PASS</a:t>
            </a:r>
            <a:endParaRPr lang="pt-BR">
              <a:solidFill>
                <a:schemeClr val="accent3"/>
              </a:solidFill>
              <a:effectLst/>
            </a:endParaRPr>
          </a:p>
          <a:p>
            <a:endParaRPr lang="pt-BR" sz="1100">
              <a:solidFill>
                <a:schemeClr val="accent3"/>
              </a:solidFill>
            </a:endParaRPr>
          </a:p>
        </xdr:txBody>
      </xdr:sp>
      <xdr:sp macro="" textlink="C̳álculos!U5">
        <xdr:nvSpPr>
          <xdr:cNvPr id="20" name="CaixaDeTexto 19">
            <a:extLst>
              <a:ext uri="{FF2B5EF4-FFF2-40B4-BE49-F238E27FC236}">
                <a16:creationId xmlns:a16="http://schemas.microsoft.com/office/drawing/2014/main" id="{D01C7D1E-0DE5-4BA2-8A84-F3B163728A94}"/>
              </a:ext>
            </a:extLst>
          </xdr:cNvPr>
          <xdr:cNvSpPr txBox="1"/>
        </xdr:nvSpPr>
        <xdr:spPr>
          <a:xfrm>
            <a:off x="4036211" y="2607468"/>
            <a:ext cx="2645576" cy="5715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4B66DB8-88B0-4F89-9A3C-5D518D0A66E9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 R$ 3.880,00 </a:t>
            </a:fld>
            <a:endParaRPr lang="pt-BR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72231</xdr:colOff>
      <xdr:row>23</xdr:row>
      <xdr:rowOff>158750</xdr:rowOff>
    </xdr:from>
    <xdr:to>
      <xdr:col>22</xdr:col>
      <xdr:colOff>131763</xdr:colOff>
      <xdr:row>52</xdr:row>
      <xdr:rowOff>126999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CF916153-5FBD-4D10-A131-DD89A092073E}"/>
            </a:ext>
          </a:extLst>
        </xdr:cNvPr>
        <xdr:cNvGrpSpPr/>
      </xdr:nvGrpSpPr>
      <xdr:grpSpPr>
        <a:xfrm>
          <a:off x="11799887" y="4480719"/>
          <a:ext cx="4202907" cy="5147468"/>
          <a:chOff x="2607468" y="1821656"/>
          <a:chExt cx="4202907" cy="1893094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1DE05739-13B8-46FB-81C2-083E10758B49}"/>
              </a:ext>
            </a:extLst>
          </xdr:cNvPr>
          <xdr:cNvSpPr/>
        </xdr:nvSpPr>
        <xdr:spPr>
          <a:xfrm>
            <a:off x="2607468" y="1821656"/>
            <a:ext cx="4202907" cy="1893094"/>
          </a:xfrm>
          <a:prstGeom prst="roundRect">
            <a:avLst>
              <a:gd name="adj" fmla="val 50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1" name="CaixaDeTexto 40">
            <a:extLst>
              <a:ext uri="{FF2B5EF4-FFF2-40B4-BE49-F238E27FC236}">
                <a16:creationId xmlns:a16="http://schemas.microsoft.com/office/drawing/2014/main" id="{25DFCD95-A970-4CE4-B1EB-0F17A5AC4965}"/>
              </a:ext>
            </a:extLst>
          </xdr:cNvPr>
          <xdr:cNvSpPr txBox="1"/>
        </xdr:nvSpPr>
        <xdr:spPr>
          <a:xfrm>
            <a:off x="2810419" y="2012043"/>
            <a:ext cx="3674000" cy="10820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>
                <a:solidFill>
                  <a:schemeClr val="accent3"/>
                </a:solidFill>
                <a:effectLst/>
                <a:latin typeface="+mn-lt"/>
                <a:ea typeface="+mn-ea"/>
                <a:cs typeface="+mn-cs"/>
              </a:rPr>
              <a:t>SUBSCRIBE TO AUTOMATIC RENEWAL </a:t>
            </a:r>
            <a:endParaRPr lang="pt-BR" sz="1400">
              <a:solidFill>
                <a:schemeClr val="accent3"/>
              </a:solidFill>
            </a:endParaRPr>
          </a:p>
        </xdr:txBody>
      </xdr:sp>
      <xdr:cxnSp macro="">
        <xdr:nvCxnSpPr>
          <xdr:cNvPr id="42" name="Conector reto 41">
            <a:extLst>
              <a:ext uri="{FF2B5EF4-FFF2-40B4-BE49-F238E27FC236}">
                <a16:creationId xmlns:a16="http://schemas.microsoft.com/office/drawing/2014/main" id="{57ECEF98-299A-4C80-992D-8EA02B63EB23}"/>
              </a:ext>
            </a:extLst>
          </xdr:cNvPr>
          <xdr:cNvCxnSpPr/>
        </xdr:nvCxnSpPr>
        <xdr:spPr>
          <a:xfrm>
            <a:off x="2805725" y="2114533"/>
            <a:ext cx="3445669" cy="4761"/>
          </a:xfrm>
          <a:prstGeom prst="line">
            <a:avLst/>
          </a:prstGeom>
          <a:ln w="3175"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9</xdr:col>
      <xdr:colOff>333375</xdr:colOff>
      <xdr:row>13</xdr:row>
      <xdr:rowOff>78580</xdr:rowOff>
    </xdr:from>
    <xdr:to>
      <xdr:col>11</xdr:col>
      <xdr:colOff>226218</xdr:colOff>
      <xdr:row>16</xdr:row>
      <xdr:rowOff>66674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69B20410-20B2-4517-9BA6-50D7E514E0A5}"/>
            </a:ext>
          </a:extLst>
        </xdr:cNvPr>
        <xdr:cNvGrpSpPr/>
      </xdr:nvGrpSpPr>
      <xdr:grpSpPr>
        <a:xfrm>
          <a:off x="7417594" y="2614611"/>
          <a:ext cx="1273968" cy="523876"/>
          <a:chOff x="3495675" y="5400674"/>
          <a:chExt cx="1549476" cy="752476"/>
        </a:xfrm>
      </xdr:grpSpPr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CA3BD89E-3970-4B99-9C28-F3CEBE6D66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3" name="Gráfico 22">
            <a:extLst>
              <a:ext uri="{FF2B5EF4-FFF2-40B4-BE49-F238E27FC236}">
                <a16:creationId xmlns:a16="http://schemas.microsoft.com/office/drawing/2014/main" id="{2E84C44B-B231-459D-8F7D-D55003BA88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30956</xdr:colOff>
      <xdr:row>9</xdr:row>
      <xdr:rowOff>90487</xdr:rowOff>
    </xdr:from>
    <xdr:to>
      <xdr:col>22</xdr:col>
      <xdr:colOff>90488</xdr:colOff>
      <xdr:row>20</xdr:row>
      <xdr:rowOff>19050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646FA53-E59D-4C6C-9DCD-1E82FAD6B537}"/>
            </a:ext>
          </a:extLst>
        </xdr:cNvPr>
        <xdr:cNvGrpSpPr/>
      </xdr:nvGrpSpPr>
      <xdr:grpSpPr>
        <a:xfrm>
          <a:off x="11758612" y="1912143"/>
          <a:ext cx="4202907" cy="1893095"/>
          <a:chOff x="2607468" y="1821656"/>
          <a:chExt cx="4202907" cy="1893094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E95DA928-D99D-4416-9359-653CA012FCE9}"/>
              </a:ext>
            </a:extLst>
          </xdr:cNvPr>
          <xdr:cNvSpPr/>
        </xdr:nvSpPr>
        <xdr:spPr>
          <a:xfrm>
            <a:off x="2607468" y="1821656"/>
            <a:ext cx="4202907" cy="1893094"/>
          </a:xfrm>
          <a:prstGeom prst="roundRect">
            <a:avLst>
              <a:gd name="adj" fmla="val 50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9" name="CaixaDeTexto 28">
            <a:extLst>
              <a:ext uri="{FF2B5EF4-FFF2-40B4-BE49-F238E27FC236}">
                <a16:creationId xmlns:a16="http://schemas.microsoft.com/office/drawing/2014/main" id="{0A997F4C-6D09-4847-A471-B07AF87123A5}"/>
              </a:ext>
            </a:extLst>
          </xdr:cNvPr>
          <xdr:cNvSpPr txBox="1"/>
        </xdr:nvSpPr>
        <xdr:spPr>
          <a:xfrm>
            <a:off x="2762249" y="2047874"/>
            <a:ext cx="2976563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accent3"/>
                </a:solidFill>
                <a:effectLst/>
                <a:latin typeface="+mn-lt"/>
                <a:ea typeface="+mn-ea"/>
                <a:cs typeface="+mn-cs"/>
              </a:rPr>
              <a:t>QUANTITY BY SUBSCRIPTION TYPE </a:t>
            </a:r>
            <a:endParaRPr lang="pt-BR" sz="1100">
              <a:solidFill>
                <a:schemeClr val="accent3"/>
              </a:solidFill>
            </a:endParaRPr>
          </a:p>
        </xdr:txBody>
      </xdr:sp>
      <xdr:cxnSp macro="">
        <xdr:nvCxnSpPr>
          <xdr:cNvPr id="28" name="Conector reto 27">
            <a:extLst>
              <a:ext uri="{FF2B5EF4-FFF2-40B4-BE49-F238E27FC236}">
                <a16:creationId xmlns:a16="http://schemas.microsoft.com/office/drawing/2014/main" id="{16B71CAB-BB66-4946-8DF1-1D0048C5E998}"/>
              </a:ext>
            </a:extLst>
          </xdr:cNvPr>
          <xdr:cNvCxnSpPr/>
        </xdr:nvCxnSpPr>
        <xdr:spPr>
          <a:xfrm>
            <a:off x="2821781" y="2309814"/>
            <a:ext cx="3445669" cy="4761"/>
          </a:xfrm>
          <a:prstGeom prst="line">
            <a:avLst/>
          </a:prstGeom>
          <a:ln w="3175"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365125</xdr:colOff>
      <xdr:row>30</xdr:row>
      <xdr:rowOff>142875</xdr:rowOff>
    </xdr:from>
    <xdr:to>
      <xdr:col>21</xdr:col>
      <xdr:colOff>523875</xdr:colOff>
      <xdr:row>50</xdr:row>
      <xdr:rowOff>31750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EB579256-FFC1-44CF-B0CC-A13EA03E5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350836</xdr:colOff>
      <xdr:row>23</xdr:row>
      <xdr:rowOff>160337</xdr:rowOff>
    </xdr:from>
    <xdr:to>
      <xdr:col>15</xdr:col>
      <xdr:colOff>396875</xdr:colOff>
      <xdr:row>52</xdr:row>
      <xdr:rowOff>95250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B604EF4D-89F3-4DD4-A1B8-B781AFAAE245}"/>
            </a:ext>
          </a:extLst>
        </xdr:cNvPr>
        <xdr:cNvGrpSpPr/>
      </xdr:nvGrpSpPr>
      <xdr:grpSpPr>
        <a:xfrm>
          <a:off x="2601117" y="4482306"/>
          <a:ext cx="8832852" cy="5114132"/>
          <a:chOff x="2607468" y="1821656"/>
          <a:chExt cx="4202907" cy="1893094"/>
        </a:xfrm>
      </xdr:grpSpPr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829E48AC-AB20-4423-A4A3-80DC6A2ED042}"/>
              </a:ext>
            </a:extLst>
          </xdr:cNvPr>
          <xdr:cNvSpPr/>
        </xdr:nvSpPr>
        <xdr:spPr>
          <a:xfrm>
            <a:off x="2607468" y="1821656"/>
            <a:ext cx="4202907" cy="1893094"/>
          </a:xfrm>
          <a:prstGeom prst="roundRect">
            <a:avLst>
              <a:gd name="adj" fmla="val 508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35" name="Conector reto 34">
            <a:extLst>
              <a:ext uri="{FF2B5EF4-FFF2-40B4-BE49-F238E27FC236}">
                <a16:creationId xmlns:a16="http://schemas.microsoft.com/office/drawing/2014/main" id="{8B6196DB-F3E2-40AD-8059-D652E8BDC189}"/>
              </a:ext>
            </a:extLst>
          </xdr:cNvPr>
          <xdr:cNvCxnSpPr/>
        </xdr:nvCxnSpPr>
        <xdr:spPr>
          <a:xfrm>
            <a:off x="2685536" y="2093392"/>
            <a:ext cx="3512344" cy="11905"/>
          </a:xfrm>
          <a:prstGeom prst="line">
            <a:avLst/>
          </a:prstGeom>
          <a:ln w="3175">
            <a:solidFill>
              <a:srgbClr val="22C55E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3F3D0FF0-66CC-4C04-B9B8-5CD6F3E36B9F}"/>
              </a:ext>
            </a:extLst>
          </xdr:cNvPr>
          <xdr:cNvSpPr txBox="1"/>
        </xdr:nvSpPr>
        <xdr:spPr>
          <a:xfrm>
            <a:off x="2696650" y="1971348"/>
            <a:ext cx="1397743" cy="120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>
                <a:solidFill>
                  <a:schemeClr val="accent3"/>
                </a:solidFill>
                <a:effectLst/>
                <a:latin typeface="+mn-lt"/>
                <a:ea typeface="+mn-ea"/>
                <a:cs typeface="+mn-cs"/>
              </a:rPr>
              <a:t>TOTAL SUBSCRIPTIONS XBOX GAME PASS</a:t>
            </a:r>
          </a:p>
        </xdr:txBody>
      </xdr:sp>
    </xdr:grpSp>
    <xdr:clientData/>
  </xdr:twoCellAnchor>
  <xdr:twoCellAnchor>
    <xdr:from>
      <xdr:col>3</xdr:col>
      <xdr:colOff>190500</xdr:colOff>
      <xdr:row>29</xdr:row>
      <xdr:rowOff>127000</xdr:rowOff>
    </xdr:from>
    <xdr:to>
      <xdr:col>15</xdr:col>
      <xdr:colOff>63501</xdr:colOff>
      <xdr:row>50</xdr:row>
      <xdr:rowOff>47625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FFEB22CE-4FEF-45DB-B4D1-4A141C4D7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285750</xdr:colOff>
      <xdr:row>12</xdr:row>
      <xdr:rowOff>47624</xdr:rowOff>
    </xdr:from>
    <xdr:to>
      <xdr:col>21</xdr:col>
      <xdr:colOff>285750</xdr:colOff>
      <xdr:row>20</xdr:row>
      <xdr:rowOff>15875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432294FF-B4AE-4A21-B73C-24AAE640F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18</xdr:col>
      <xdr:colOff>177800</xdr:colOff>
      <xdr:row>0</xdr:row>
      <xdr:rowOff>0</xdr:rowOff>
    </xdr:from>
    <xdr:to>
      <xdr:col>21</xdr:col>
      <xdr:colOff>673100</xdr:colOff>
      <xdr:row>5</xdr:row>
      <xdr:rowOff>50800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4" name="Start Date">
              <a:extLst>
                <a:ext uri="{FF2B5EF4-FFF2-40B4-BE49-F238E27FC236}">
                  <a16:creationId xmlns:a16="http://schemas.microsoft.com/office/drawing/2014/main" id="{E7F04F1B-0439-4C3B-9304-699D7B46E3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tart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0700" y="0"/>
              <a:ext cx="2552700" cy="116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</xdr:row>
      <xdr:rowOff>120651</xdr:rowOff>
    </xdr:from>
    <xdr:to>
      <xdr:col>1</xdr:col>
      <xdr:colOff>0</xdr:colOff>
      <xdr:row>26</xdr:row>
      <xdr:rowOff>127001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6" name="EA Play S. Pass">
              <a:extLst>
                <a:ext uri="{FF2B5EF4-FFF2-40B4-BE49-F238E27FC236}">
                  <a16:creationId xmlns:a16="http://schemas.microsoft.com/office/drawing/2014/main" id="{8E3D1541-8734-46B9-87BD-2FE92AFE47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. P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083051"/>
              <a:ext cx="1968500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26</xdr:row>
      <xdr:rowOff>88901</xdr:rowOff>
    </xdr:from>
    <xdr:to>
      <xdr:col>1</xdr:col>
      <xdr:colOff>25400</xdr:colOff>
      <xdr:row>32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7" name="Minecraft S. Pass">
              <a:extLst>
                <a:ext uri="{FF2B5EF4-FFF2-40B4-BE49-F238E27FC236}">
                  <a16:creationId xmlns:a16="http://schemas.microsoft.com/office/drawing/2014/main" id="{123EEF17-4C2D-4F55-964F-E695430B4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. P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940301"/>
              <a:ext cx="1993900" cy="101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0.858010300923" createdVersion="6" refreshedVersion="6" minRefreshableVersion="3" recordCount="295" xr:uid="{B82C2960-088C-4FB8-86CF-B2915144333E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20560035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x v="0"/>
    <x v="0"/>
    <n v="30"/>
    <x v="0"/>
    <x v="0"/>
    <x v="0"/>
    <n v="60"/>
  </r>
  <r>
    <n v="3232"/>
    <s v="Maria Oliveira"/>
    <x v="1"/>
    <x v="1"/>
    <x v="1"/>
    <x v="1"/>
    <x v="1"/>
    <x v="1"/>
    <s v="-"/>
    <x v="1"/>
    <x v="1"/>
    <x v="1"/>
    <n v="5"/>
  </r>
  <r>
    <n v="3233"/>
    <s v="Lucas Fernandes"/>
    <x v="2"/>
    <x v="2"/>
    <x v="0"/>
    <x v="2"/>
    <x v="2"/>
    <x v="1"/>
    <s v="-"/>
    <x v="0"/>
    <x v="0"/>
    <x v="2"/>
    <n v="20"/>
  </r>
  <r>
    <n v="3234"/>
    <s v="Ana Souza"/>
    <x v="0"/>
    <x v="3"/>
    <x v="1"/>
    <x v="0"/>
    <x v="0"/>
    <x v="0"/>
    <n v="30"/>
    <x v="0"/>
    <x v="0"/>
    <x v="3"/>
    <n v="62"/>
  </r>
  <r>
    <n v="3235"/>
    <s v="Pedro Gonçalves"/>
    <x v="1"/>
    <x v="4"/>
    <x v="0"/>
    <x v="1"/>
    <x v="0"/>
    <x v="1"/>
    <s v="-"/>
    <x v="1"/>
    <x v="1"/>
    <x v="4"/>
    <n v="4"/>
  </r>
  <r>
    <n v="3236"/>
    <s v="Felipe Costa"/>
    <x v="2"/>
    <x v="5"/>
    <x v="1"/>
    <x v="2"/>
    <x v="0"/>
    <x v="1"/>
    <s v="-"/>
    <x v="0"/>
    <x v="0"/>
    <x v="5"/>
    <n v="28"/>
  </r>
  <r>
    <n v="3237"/>
    <s v="Camila Ribeiro"/>
    <x v="0"/>
    <x v="6"/>
    <x v="0"/>
    <x v="0"/>
    <x v="2"/>
    <x v="0"/>
    <n v="30"/>
    <x v="0"/>
    <x v="0"/>
    <x v="2"/>
    <n v="55"/>
  </r>
  <r>
    <n v="3238"/>
    <s v="André Mendes"/>
    <x v="1"/>
    <x v="7"/>
    <x v="0"/>
    <x v="1"/>
    <x v="1"/>
    <x v="1"/>
    <s v="-"/>
    <x v="1"/>
    <x v="1"/>
    <x v="1"/>
    <n v="5"/>
  </r>
  <r>
    <n v="3239"/>
    <s v="Sofia Almeida"/>
    <x v="0"/>
    <x v="4"/>
    <x v="1"/>
    <x v="0"/>
    <x v="0"/>
    <x v="0"/>
    <n v="30"/>
    <x v="0"/>
    <x v="0"/>
    <x v="0"/>
    <n v="60"/>
  </r>
  <r>
    <n v="3240"/>
    <s v="Bruno Martins"/>
    <x v="2"/>
    <x v="8"/>
    <x v="0"/>
    <x v="2"/>
    <x v="2"/>
    <x v="1"/>
    <s v="-"/>
    <x v="0"/>
    <x v="0"/>
    <x v="6"/>
    <n v="15"/>
  </r>
  <r>
    <n v="3241"/>
    <s v="Rita Castro"/>
    <x v="1"/>
    <x v="9"/>
    <x v="1"/>
    <x v="1"/>
    <x v="0"/>
    <x v="1"/>
    <s v="-"/>
    <x v="1"/>
    <x v="1"/>
    <x v="4"/>
    <n v="4"/>
  </r>
  <r>
    <n v="3242"/>
    <s v="Marco Túlio"/>
    <x v="0"/>
    <x v="10"/>
    <x v="0"/>
    <x v="0"/>
    <x v="1"/>
    <x v="0"/>
    <n v="30"/>
    <x v="0"/>
    <x v="0"/>
    <x v="7"/>
    <n v="45"/>
  </r>
  <r>
    <n v="3243"/>
    <s v="Lívia Silveira"/>
    <x v="2"/>
    <x v="11"/>
    <x v="1"/>
    <x v="2"/>
    <x v="0"/>
    <x v="1"/>
    <s v="-"/>
    <x v="0"/>
    <x v="0"/>
    <x v="2"/>
    <n v="20"/>
  </r>
  <r>
    <n v="3244"/>
    <s v="Diogo Sousa"/>
    <x v="1"/>
    <x v="12"/>
    <x v="0"/>
    <x v="1"/>
    <x v="2"/>
    <x v="1"/>
    <s v="-"/>
    <x v="1"/>
    <x v="1"/>
    <x v="1"/>
    <n v="5"/>
  </r>
  <r>
    <n v="3245"/>
    <s v="Fernanda Lima"/>
    <x v="0"/>
    <x v="13"/>
    <x v="1"/>
    <x v="0"/>
    <x v="0"/>
    <x v="0"/>
    <n v="30"/>
    <x v="0"/>
    <x v="0"/>
    <x v="8"/>
    <n v="57"/>
  </r>
  <r>
    <n v="3246"/>
    <s v="Caio Pereira"/>
    <x v="2"/>
    <x v="14"/>
    <x v="0"/>
    <x v="2"/>
    <x v="1"/>
    <x v="1"/>
    <s v="-"/>
    <x v="0"/>
    <x v="0"/>
    <x v="9"/>
    <n v="18"/>
  </r>
  <r>
    <n v="3247"/>
    <s v="Beatriz Gomes"/>
    <x v="1"/>
    <x v="15"/>
    <x v="1"/>
    <x v="1"/>
    <x v="0"/>
    <x v="1"/>
    <s v="-"/>
    <x v="1"/>
    <x v="1"/>
    <x v="5"/>
    <n v="3"/>
  </r>
  <r>
    <n v="3248"/>
    <s v="Cesar Oliveira"/>
    <x v="0"/>
    <x v="16"/>
    <x v="0"/>
    <x v="0"/>
    <x v="2"/>
    <x v="0"/>
    <n v="30"/>
    <x v="0"/>
    <x v="0"/>
    <x v="10"/>
    <n v="58"/>
  </r>
  <r>
    <n v="3249"/>
    <s v="Débora Machado"/>
    <x v="2"/>
    <x v="17"/>
    <x v="1"/>
    <x v="2"/>
    <x v="0"/>
    <x v="1"/>
    <s v="-"/>
    <x v="0"/>
    <x v="0"/>
    <x v="0"/>
    <n v="25"/>
  </r>
  <r>
    <n v="3250"/>
    <s v="Eduardo Vargas"/>
    <x v="1"/>
    <x v="18"/>
    <x v="0"/>
    <x v="1"/>
    <x v="1"/>
    <x v="1"/>
    <s v="-"/>
    <x v="1"/>
    <x v="1"/>
    <x v="1"/>
    <n v="5"/>
  </r>
  <r>
    <n v="3251"/>
    <s v="Gabriela Santos"/>
    <x v="0"/>
    <x v="19"/>
    <x v="1"/>
    <x v="0"/>
    <x v="0"/>
    <x v="0"/>
    <n v="30"/>
    <x v="0"/>
    <x v="0"/>
    <x v="3"/>
    <n v="62"/>
  </r>
  <r>
    <n v="3252"/>
    <s v="Henrique Dias"/>
    <x v="2"/>
    <x v="20"/>
    <x v="0"/>
    <x v="2"/>
    <x v="2"/>
    <x v="1"/>
    <s v="-"/>
    <x v="0"/>
    <x v="0"/>
    <x v="6"/>
    <n v="15"/>
  </r>
  <r>
    <n v="3253"/>
    <s v="Isabela Moreira"/>
    <x v="1"/>
    <x v="21"/>
    <x v="1"/>
    <x v="1"/>
    <x v="0"/>
    <x v="1"/>
    <s v="-"/>
    <x v="1"/>
    <x v="1"/>
    <x v="4"/>
    <n v="4"/>
  </r>
  <r>
    <n v="3254"/>
    <s v="Joaquim Barbosa"/>
    <x v="0"/>
    <x v="22"/>
    <x v="0"/>
    <x v="0"/>
    <x v="1"/>
    <x v="0"/>
    <n v="30"/>
    <x v="0"/>
    <x v="0"/>
    <x v="7"/>
    <n v="45"/>
  </r>
  <r>
    <n v="3255"/>
    <s v="Lara Rocha"/>
    <x v="2"/>
    <x v="23"/>
    <x v="1"/>
    <x v="2"/>
    <x v="0"/>
    <x v="1"/>
    <s v="-"/>
    <x v="0"/>
    <x v="0"/>
    <x v="2"/>
    <n v="20"/>
  </r>
  <r>
    <n v="3256"/>
    <s v="Matheus Silva"/>
    <x v="1"/>
    <x v="24"/>
    <x v="0"/>
    <x v="1"/>
    <x v="2"/>
    <x v="1"/>
    <s v="-"/>
    <x v="1"/>
    <x v="1"/>
    <x v="1"/>
    <n v="5"/>
  </r>
  <r>
    <n v="3257"/>
    <s v="Nicole Costa"/>
    <x v="0"/>
    <x v="25"/>
    <x v="1"/>
    <x v="0"/>
    <x v="0"/>
    <x v="0"/>
    <n v="30"/>
    <x v="0"/>
    <x v="0"/>
    <x v="0"/>
    <n v="60"/>
  </r>
  <r>
    <n v="3258"/>
    <s v="Otávio Mendonça"/>
    <x v="2"/>
    <x v="26"/>
    <x v="0"/>
    <x v="2"/>
    <x v="1"/>
    <x v="1"/>
    <s v="-"/>
    <x v="0"/>
    <x v="0"/>
    <x v="6"/>
    <n v="15"/>
  </r>
  <r>
    <n v="3259"/>
    <s v="Paula Ferreira"/>
    <x v="1"/>
    <x v="27"/>
    <x v="1"/>
    <x v="1"/>
    <x v="0"/>
    <x v="1"/>
    <s v="-"/>
    <x v="1"/>
    <x v="1"/>
    <x v="4"/>
    <n v="4"/>
  </r>
  <r>
    <n v="3260"/>
    <s v="Raquel Alves"/>
    <x v="0"/>
    <x v="28"/>
    <x v="0"/>
    <x v="0"/>
    <x v="2"/>
    <x v="0"/>
    <n v="30"/>
    <x v="0"/>
    <x v="0"/>
    <x v="10"/>
    <n v="58"/>
  </r>
  <r>
    <n v="3261"/>
    <s v="Samuel Pires"/>
    <x v="2"/>
    <x v="29"/>
    <x v="1"/>
    <x v="2"/>
    <x v="0"/>
    <x v="1"/>
    <s v="-"/>
    <x v="0"/>
    <x v="0"/>
    <x v="2"/>
    <n v="20"/>
  </r>
  <r>
    <n v="3262"/>
    <s v="Tânia Barros"/>
    <x v="1"/>
    <x v="30"/>
    <x v="0"/>
    <x v="1"/>
    <x v="1"/>
    <x v="1"/>
    <s v="-"/>
    <x v="1"/>
    <x v="1"/>
    <x v="1"/>
    <n v="5"/>
  </r>
  <r>
    <n v="3263"/>
    <s v="Vinicius Lima"/>
    <x v="0"/>
    <x v="31"/>
    <x v="1"/>
    <x v="0"/>
    <x v="0"/>
    <x v="0"/>
    <n v="30"/>
    <x v="0"/>
    <x v="0"/>
    <x v="3"/>
    <n v="62"/>
  </r>
  <r>
    <n v="3264"/>
    <s v="Yasmin Teixeira"/>
    <x v="2"/>
    <x v="32"/>
    <x v="0"/>
    <x v="2"/>
    <x v="2"/>
    <x v="1"/>
    <s v="-"/>
    <x v="0"/>
    <x v="0"/>
    <x v="6"/>
    <n v="15"/>
  </r>
  <r>
    <n v="3265"/>
    <s v="Zé Carlos"/>
    <x v="1"/>
    <x v="33"/>
    <x v="1"/>
    <x v="1"/>
    <x v="0"/>
    <x v="1"/>
    <s v="-"/>
    <x v="1"/>
    <x v="1"/>
    <x v="4"/>
    <n v="4"/>
  </r>
  <r>
    <n v="3266"/>
    <s v="Amanda Nogueira"/>
    <x v="1"/>
    <x v="34"/>
    <x v="0"/>
    <x v="1"/>
    <x v="0"/>
    <x v="1"/>
    <s v="-"/>
    <x v="1"/>
    <x v="1"/>
    <x v="1"/>
    <n v="5"/>
  </r>
  <r>
    <n v="3267"/>
    <s v="Bruno Cavalheiro"/>
    <x v="0"/>
    <x v="35"/>
    <x v="1"/>
    <x v="0"/>
    <x v="2"/>
    <x v="0"/>
    <n v="30"/>
    <x v="0"/>
    <x v="0"/>
    <x v="10"/>
    <n v="58"/>
  </r>
  <r>
    <n v="3268"/>
    <s v="Carla Dias"/>
    <x v="2"/>
    <x v="36"/>
    <x v="0"/>
    <x v="2"/>
    <x v="1"/>
    <x v="1"/>
    <s v="-"/>
    <x v="0"/>
    <x v="0"/>
    <x v="2"/>
    <n v="20"/>
  </r>
  <r>
    <n v="3269"/>
    <s v="Diego Fontes"/>
    <x v="1"/>
    <x v="37"/>
    <x v="1"/>
    <x v="1"/>
    <x v="2"/>
    <x v="1"/>
    <s v="-"/>
    <x v="1"/>
    <x v="1"/>
    <x v="4"/>
    <n v="4"/>
  </r>
  <r>
    <n v="3270"/>
    <s v="Eunice Lima"/>
    <x v="0"/>
    <x v="38"/>
    <x v="0"/>
    <x v="0"/>
    <x v="0"/>
    <x v="0"/>
    <n v="30"/>
    <x v="0"/>
    <x v="0"/>
    <x v="6"/>
    <n v="50"/>
  </r>
  <r>
    <n v="3271"/>
    <s v="Fábio Martins"/>
    <x v="2"/>
    <x v="39"/>
    <x v="1"/>
    <x v="2"/>
    <x v="0"/>
    <x v="1"/>
    <s v="-"/>
    <x v="0"/>
    <x v="0"/>
    <x v="0"/>
    <n v="25"/>
  </r>
  <r>
    <n v="3272"/>
    <s v="Gisele Araújo"/>
    <x v="1"/>
    <x v="40"/>
    <x v="0"/>
    <x v="1"/>
    <x v="1"/>
    <x v="1"/>
    <s v="-"/>
    <x v="1"/>
    <x v="1"/>
    <x v="1"/>
    <n v="5"/>
  </r>
  <r>
    <n v="3273"/>
    <s v="Hélio Castro"/>
    <x v="0"/>
    <x v="41"/>
    <x v="1"/>
    <x v="0"/>
    <x v="2"/>
    <x v="0"/>
    <n v="30"/>
    <x v="0"/>
    <x v="0"/>
    <x v="7"/>
    <n v="45"/>
  </r>
  <r>
    <n v="3274"/>
    <s v="Ingrid Menezes"/>
    <x v="2"/>
    <x v="42"/>
    <x v="0"/>
    <x v="2"/>
    <x v="2"/>
    <x v="1"/>
    <s v="-"/>
    <x v="0"/>
    <x v="0"/>
    <x v="9"/>
    <n v="18"/>
  </r>
  <r>
    <n v="3275"/>
    <s v="Jorge Baptista"/>
    <x v="1"/>
    <x v="43"/>
    <x v="1"/>
    <x v="1"/>
    <x v="0"/>
    <x v="1"/>
    <s v="-"/>
    <x v="1"/>
    <x v="1"/>
    <x v="5"/>
    <n v="3"/>
  </r>
  <r>
    <n v="3276"/>
    <s v="Kléber Oliveira"/>
    <x v="0"/>
    <x v="44"/>
    <x v="0"/>
    <x v="0"/>
    <x v="1"/>
    <x v="0"/>
    <n v="30"/>
    <x v="0"/>
    <x v="0"/>
    <x v="0"/>
    <n v="60"/>
  </r>
  <r>
    <n v="3277"/>
    <s v="Luciana Freitas"/>
    <x v="2"/>
    <x v="45"/>
    <x v="1"/>
    <x v="2"/>
    <x v="0"/>
    <x v="1"/>
    <s v="-"/>
    <x v="0"/>
    <x v="0"/>
    <x v="2"/>
    <n v="20"/>
  </r>
  <r>
    <n v="3278"/>
    <s v="Márcia Eller"/>
    <x v="1"/>
    <x v="46"/>
    <x v="0"/>
    <x v="1"/>
    <x v="2"/>
    <x v="1"/>
    <s v="-"/>
    <x v="1"/>
    <x v="1"/>
    <x v="1"/>
    <n v="5"/>
  </r>
  <r>
    <n v="3279"/>
    <s v="Nilo Peçanha"/>
    <x v="0"/>
    <x v="47"/>
    <x v="1"/>
    <x v="0"/>
    <x v="0"/>
    <x v="0"/>
    <n v="30"/>
    <x v="0"/>
    <x v="0"/>
    <x v="3"/>
    <n v="62"/>
  </r>
  <r>
    <n v="3280"/>
    <s v="Oscar Neves"/>
    <x v="2"/>
    <x v="48"/>
    <x v="0"/>
    <x v="2"/>
    <x v="1"/>
    <x v="1"/>
    <s v="-"/>
    <x v="0"/>
    <x v="0"/>
    <x v="6"/>
    <n v="15"/>
  </r>
  <r>
    <n v="3281"/>
    <s v="Patrícia Soares"/>
    <x v="1"/>
    <x v="49"/>
    <x v="1"/>
    <x v="1"/>
    <x v="0"/>
    <x v="1"/>
    <s v="-"/>
    <x v="1"/>
    <x v="1"/>
    <x v="4"/>
    <n v="4"/>
  </r>
  <r>
    <n v="3282"/>
    <s v="Quirino Gonçalves"/>
    <x v="0"/>
    <x v="50"/>
    <x v="0"/>
    <x v="0"/>
    <x v="2"/>
    <x v="0"/>
    <n v="30"/>
    <x v="0"/>
    <x v="0"/>
    <x v="10"/>
    <n v="58"/>
  </r>
  <r>
    <n v="3283"/>
    <s v="Raul Machado"/>
    <x v="2"/>
    <x v="51"/>
    <x v="1"/>
    <x v="2"/>
    <x v="0"/>
    <x v="1"/>
    <s v="-"/>
    <x v="0"/>
    <x v="0"/>
    <x v="2"/>
    <n v="20"/>
  </r>
  <r>
    <n v="3284"/>
    <s v="Sônia Lobo"/>
    <x v="1"/>
    <x v="52"/>
    <x v="0"/>
    <x v="1"/>
    <x v="1"/>
    <x v="1"/>
    <s v="-"/>
    <x v="1"/>
    <x v="1"/>
    <x v="1"/>
    <n v="5"/>
  </r>
  <r>
    <n v="3285"/>
    <s v="Tiago Ramos"/>
    <x v="0"/>
    <x v="53"/>
    <x v="1"/>
    <x v="0"/>
    <x v="0"/>
    <x v="0"/>
    <n v="30"/>
    <x v="0"/>
    <x v="0"/>
    <x v="7"/>
    <n v="45"/>
  </r>
  <r>
    <n v="3286"/>
    <s v="Ugo Pires"/>
    <x v="2"/>
    <x v="54"/>
    <x v="0"/>
    <x v="2"/>
    <x v="2"/>
    <x v="1"/>
    <s v="-"/>
    <x v="0"/>
    <x v="0"/>
    <x v="6"/>
    <n v="15"/>
  </r>
  <r>
    <n v="3287"/>
    <s v="Valéria Nobre"/>
    <x v="1"/>
    <x v="55"/>
    <x v="1"/>
    <x v="1"/>
    <x v="0"/>
    <x v="1"/>
    <s v="-"/>
    <x v="1"/>
    <x v="1"/>
    <x v="4"/>
    <n v="4"/>
  </r>
  <r>
    <n v="3288"/>
    <s v="William Siqueira"/>
    <x v="0"/>
    <x v="56"/>
    <x v="0"/>
    <x v="0"/>
    <x v="1"/>
    <x v="0"/>
    <n v="30"/>
    <x v="0"/>
    <x v="0"/>
    <x v="3"/>
    <n v="62"/>
  </r>
  <r>
    <n v="3289"/>
    <s v="Xuxa Meneghel"/>
    <x v="2"/>
    <x v="57"/>
    <x v="1"/>
    <x v="2"/>
    <x v="0"/>
    <x v="1"/>
    <s v="-"/>
    <x v="0"/>
    <x v="0"/>
    <x v="2"/>
    <n v="20"/>
  </r>
  <r>
    <n v="3290"/>
    <s v="Yara Figueiredo"/>
    <x v="1"/>
    <x v="58"/>
    <x v="0"/>
    <x v="1"/>
    <x v="2"/>
    <x v="1"/>
    <s v="-"/>
    <x v="1"/>
    <x v="1"/>
    <x v="1"/>
    <n v="5"/>
  </r>
  <r>
    <n v="3291"/>
    <s v="Zacarias Alves"/>
    <x v="0"/>
    <x v="59"/>
    <x v="1"/>
    <x v="0"/>
    <x v="0"/>
    <x v="0"/>
    <n v="30"/>
    <x v="0"/>
    <x v="0"/>
    <x v="0"/>
    <n v="60"/>
  </r>
  <r>
    <n v="3292"/>
    <s v="Amanda Bynes"/>
    <x v="2"/>
    <x v="60"/>
    <x v="0"/>
    <x v="2"/>
    <x v="1"/>
    <x v="1"/>
    <s v="-"/>
    <x v="0"/>
    <x v="0"/>
    <x v="6"/>
    <n v="15"/>
  </r>
  <r>
    <n v="3293"/>
    <s v="Bruno Mars"/>
    <x v="1"/>
    <x v="61"/>
    <x v="1"/>
    <x v="1"/>
    <x v="0"/>
    <x v="1"/>
    <s v="-"/>
    <x v="1"/>
    <x v="1"/>
    <x v="4"/>
    <n v="4"/>
  </r>
  <r>
    <n v="3294"/>
    <s v="Carla Bruni"/>
    <x v="0"/>
    <x v="62"/>
    <x v="0"/>
    <x v="0"/>
    <x v="2"/>
    <x v="0"/>
    <n v="30"/>
    <x v="0"/>
    <x v="0"/>
    <x v="7"/>
    <n v="45"/>
  </r>
  <r>
    <n v="3295"/>
    <s v="Diego Maradona"/>
    <x v="2"/>
    <x v="63"/>
    <x v="1"/>
    <x v="2"/>
    <x v="0"/>
    <x v="1"/>
    <s v="-"/>
    <x v="0"/>
    <x v="0"/>
    <x v="0"/>
    <n v="25"/>
  </r>
  <r>
    <n v="3296"/>
    <s v="Estela Marques"/>
    <x v="1"/>
    <x v="64"/>
    <x v="1"/>
    <x v="1"/>
    <x v="0"/>
    <x v="1"/>
    <s v="-"/>
    <x v="1"/>
    <x v="1"/>
    <x v="1"/>
    <n v="5"/>
  </r>
  <r>
    <n v="3297"/>
    <s v="Fábio Nobre"/>
    <x v="0"/>
    <x v="65"/>
    <x v="0"/>
    <x v="0"/>
    <x v="2"/>
    <x v="0"/>
    <n v="30"/>
    <x v="0"/>
    <x v="0"/>
    <x v="10"/>
    <n v="58"/>
  </r>
  <r>
    <n v="3298"/>
    <s v="Gabriel Oliveira"/>
    <x v="2"/>
    <x v="66"/>
    <x v="1"/>
    <x v="2"/>
    <x v="1"/>
    <x v="1"/>
    <s v="-"/>
    <x v="0"/>
    <x v="0"/>
    <x v="2"/>
    <n v="20"/>
  </r>
  <r>
    <n v="3299"/>
    <s v="Helena Santos"/>
    <x v="1"/>
    <x v="67"/>
    <x v="0"/>
    <x v="1"/>
    <x v="2"/>
    <x v="1"/>
    <s v="-"/>
    <x v="1"/>
    <x v="1"/>
    <x v="4"/>
    <n v="4"/>
  </r>
  <r>
    <n v="3300"/>
    <s v="Ivan Carvalho"/>
    <x v="0"/>
    <x v="68"/>
    <x v="1"/>
    <x v="0"/>
    <x v="0"/>
    <x v="0"/>
    <n v="30"/>
    <x v="0"/>
    <x v="0"/>
    <x v="6"/>
    <n v="50"/>
  </r>
  <r>
    <n v="3301"/>
    <s v="Júlia Ferreira"/>
    <x v="2"/>
    <x v="69"/>
    <x v="0"/>
    <x v="2"/>
    <x v="0"/>
    <x v="1"/>
    <s v="-"/>
    <x v="0"/>
    <x v="0"/>
    <x v="0"/>
    <n v="25"/>
  </r>
  <r>
    <n v="3302"/>
    <s v="Karla Alves"/>
    <x v="1"/>
    <x v="70"/>
    <x v="1"/>
    <x v="1"/>
    <x v="1"/>
    <x v="1"/>
    <s v="-"/>
    <x v="1"/>
    <x v="1"/>
    <x v="1"/>
    <n v="5"/>
  </r>
  <r>
    <n v="3303"/>
    <s v="Lucas Mendes"/>
    <x v="0"/>
    <x v="71"/>
    <x v="0"/>
    <x v="0"/>
    <x v="2"/>
    <x v="0"/>
    <n v="30"/>
    <x v="0"/>
    <x v="0"/>
    <x v="7"/>
    <n v="45"/>
  </r>
  <r>
    <n v="3304"/>
    <s v="Mônica Gomes"/>
    <x v="2"/>
    <x v="72"/>
    <x v="1"/>
    <x v="2"/>
    <x v="2"/>
    <x v="1"/>
    <s v="-"/>
    <x v="0"/>
    <x v="0"/>
    <x v="9"/>
    <n v="18"/>
  </r>
  <r>
    <n v="3305"/>
    <s v="Norberto Queiroz"/>
    <x v="1"/>
    <x v="73"/>
    <x v="0"/>
    <x v="1"/>
    <x v="0"/>
    <x v="1"/>
    <s v="-"/>
    <x v="1"/>
    <x v="1"/>
    <x v="5"/>
    <n v="3"/>
  </r>
  <r>
    <n v="3306"/>
    <s v="Otávio Barros"/>
    <x v="0"/>
    <x v="74"/>
    <x v="1"/>
    <x v="0"/>
    <x v="1"/>
    <x v="0"/>
    <n v="30"/>
    <x v="0"/>
    <x v="0"/>
    <x v="0"/>
    <n v="60"/>
  </r>
  <r>
    <n v="3307"/>
    <s v="Paula Vieira"/>
    <x v="2"/>
    <x v="75"/>
    <x v="0"/>
    <x v="2"/>
    <x v="0"/>
    <x v="1"/>
    <s v="-"/>
    <x v="0"/>
    <x v="0"/>
    <x v="2"/>
    <n v="20"/>
  </r>
  <r>
    <n v="3308"/>
    <s v="Quentin Ramos"/>
    <x v="1"/>
    <x v="76"/>
    <x v="1"/>
    <x v="1"/>
    <x v="2"/>
    <x v="1"/>
    <s v="-"/>
    <x v="1"/>
    <x v="1"/>
    <x v="1"/>
    <n v="5"/>
  </r>
  <r>
    <n v="3309"/>
    <s v="Raquel Novaes"/>
    <x v="0"/>
    <x v="77"/>
    <x v="0"/>
    <x v="0"/>
    <x v="0"/>
    <x v="0"/>
    <n v="30"/>
    <x v="0"/>
    <x v="0"/>
    <x v="3"/>
    <n v="62"/>
  </r>
  <r>
    <n v="3310"/>
    <s v="Samantha Lopes"/>
    <x v="2"/>
    <x v="78"/>
    <x v="1"/>
    <x v="2"/>
    <x v="1"/>
    <x v="1"/>
    <s v="-"/>
    <x v="0"/>
    <x v="0"/>
    <x v="6"/>
    <n v="15"/>
  </r>
  <r>
    <n v="3311"/>
    <s v="Tiago Martins"/>
    <x v="1"/>
    <x v="79"/>
    <x v="0"/>
    <x v="1"/>
    <x v="0"/>
    <x v="1"/>
    <s v="-"/>
    <x v="1"/>
    <x v="1"/>
    <x v="4"/>
    <n v="4"/>
  </r>
  <r>
    <n v="3312"/>
    <s v="Ulysses Guimarães"/>
    <x v="0"/>
    <x v="80"/>
    <x v="1"/>
    <x v="0"/>
    <x v="2"/>
    <x v="0"/>
    <n v="30"/>
    <x v="0"/>
    <x v="0"/>
    <x v="10"/>
    <n v="58"/>
  </r>
  <r>
    <n v="3313"/>
    <s v="Vanessa Silva"/>
    <x v="2"/>
    <x v="81"/>
    <x v="0"/>
    <x v="2"/>
    <x v="0"/>
    <x v="1"/>
    <s v="-"/>
    <x v="0"/>
    <x v="0"/>
    <x v="2"/>
    <n v="20"/>
  </r>
  <r>
    <n v="3314"/>
    <s v="William Carneiro"/>
    <x v="1"/>
    <x v="82"/>
    <x v="1"/>
    <x v="1"/>
    <x v="1"/>
    <x v="1"/>
    <s v="-"/>
    <x v="1"/>
    <x v="1"/>
    <x v="1"/>
    <n v="5"/>
  </r>
  <r>
    <n v="3315"/>
    <s v="Ximena Rocha"/>
    <x v="0"/>
    <x v="83"/>
    <x v="0"/>
    <x v="0"/>
    <x v="0"/>
    <x v="0"/>
    <n v="30"/>
    <x v="0"/>
    <x v="0"/>
    <x v="7"/>
    <n v="45"/>
  </r>
  <r>
    <n v="3316"/>
    <s v="Yasmin Figueiredo"/>
    <x v="2"/>
    <x v="84"/>
    <x v="1"/>
    <x v="2"/>
    <x v="2"/>
    <x v="1"/>
    <s v="-"/>
    <x v="0"/>
    <x v="0"/>
    <x v="6"/>
    <n v="15"/>
  </r>
  <r>
    <n v="3317"/>
    <s v="Zara Cunha"/>
    <x v="1"/>
    <x v="85"/>
    <x v="0"/>
    <x v="1"/>
    <x v="0"/>
    <x v="1"/>
    <s v="-"/>
    <x v="1"/>
    <x v="1"/>
    <x v="4"/>
    <n v="4"/>
  </r>
  <r>
    <n v="3318"/>
    <s v="Alan Teixeira"/>
    <x v="0"/>
    <x v="86"/>
    <x v="1"/>
    <x v="0"/>
    <x v="1"/>
    <x v="0"/>
    <n v="30"/>
    <x v="0"/>
    <x v="0"/>
    <x v="3"/>
    <n v="62"/>
  </r>
  <r>
    <n v="3319"/>
    <s v="Bárbara Oliveira"/>
    <x v="2"/>
    <x v="87"/>
    <x v="0"/>
    <x v="2"/>
    <x v="0"/>
    <x v="1"/>
    <s v="-"/>
    <x v="0"/>
    <x v="0"/>
    <x v="2"/>
    <n v="20"/>
  </r>
  <r>
    <n v="3320"/>
    <s v="Carlos Junqueira"/>
    <x v="1"/>
    <x v="88"/>
    <x v="1"/>
    <x v="1"/>
    <x v="2"/>
    <x v="1"/>
    <s v="-"/>
    <x v="1"/>
    <x v="1"/>
    <x v="1"/>
    <n v="5"/>
  </r>
  <r>
    <n v="3321"/>
    <s v="Daniela Moura"/>
    <x v="0"/>
    <x v="89"/>
    <x v="0"/>
    <x v="0"/>
    <x v="0"/>
    <x v="0"/>
    <n v="30"/>
    <x v="0"/>
    <x v="0"/>
    <x v="0"/>
    <n v="60"/>
  </r>
  <r>
    <n v="3322"/>
    <s v="Eduardo Lima"/>
    <x v="2"/>
    <x v="90"/>
    <x v="1"/>
    <x v="2"/>
    <x v="1"/>
    <x v="1"/>
    <s v="-"/>
    <x v="0"/>
    <x v="0"/>
    <x v="6"/>
    <n v="15"/>
  </r>
  <r>
    <n v="3323"/>
    <s v="Fabiana Araújo"/>
    <x v="1"/>
    <x v="91"/>
    <x v="0"/>
    <x v="1"/>
    <x v="0"/>
    <x v="1"/>
    <s v="-"/>
    <x v="1"/>
    <x v="1"/>
    <x v="4"/>
    <n v="4"/>
  </r>
  <r>
    <n v="3324"/>
    <s v="Geraldo Ribeiro"/>
    <x v="0"/>
    <x v="92"/>
    <x v="1"/>
    <x v="0"/>
    <x v="2"/>
    <x v="0"/>
    <n v="30"/>
    <x v="0"/>
    <x v="0"/>
    <x v="7"/>
    <n v="45"/>
  </r>
  <r>
    <n v="3325"/>
    <s v="Héctor Vargas"/>
    <x v="2"/>
    <x v="93"/>
    <x v="0"/>
    <x v="2"/>
    <x v="2"/>
    <x v="1"/>
    <s v="-"/>
    <x v="0"/>
    <x v="0"/>
    <x v="6"/>
    <n v="15"/>
  </r>
  <r>
    <n v="3326"/>
    <s v="Isabela Fonseca"/>
    <x v="1"/>
    <x v="94"/>
    <x v="1"/>
    <x v="1"/>
    <x v="1"/>
    <x v="1"/>
    <s v="-"/>
    <x v="1"/>
    <x v="1"/>
    <x v="1"/>
    <n v="5"/>
  </r>
  <r>
    <n v="3327"/>
    <s v="João Pedro Almeida"/>
    <x v="0"/>
    <x v="95"/>
    <x v="0"/>
    <x v="0"/>
    <x v="0"/>
    <x v="0"/>
    <n v="30"/>
    <x v="0"/>
    <x v="0"/>
    <x v="10"/>
    <n v="58"/>
  </r>
  <r>
    <n v="3328"/>
    <s v="Klara Costa"/>
    <x v="2"/>
    <x v="96"/>
    <x v="1"/>
    <x v="2"/>
    <x v="1"/>
    <x v="1"/>
    <s v="-"/>
    <x v="0"/>
    <x v="0"/>
    <x v="2"/>
    <n v="20"/>
  </r>
  <r>
    <n v="3329"/>
    <s v="Luciana Mendes"/>
    <x v="1"/>
    <x v="97"/>
    <x v="0"/>
    <x v="1"/>
    <x v="2"/>
    <x v="1"/>
    <s v="-"/>
    <x v="1"/>
    <x v="1"/>
    <x v="4"/>
    <n v="4"/>
  </r>
  <r>
    <n v="3330"/>
    <s v="Marcelo Gouveia"/>
    <x v="0"/>
    <x v="98"/>
    <x v="1"/>
    <x v="0"/>
    <x v="0"/>
    <x v="0"/>
    <n v="30"/>
    <x v="0"/>
    <x v="0"/>
    <x v="6"/>
    <n v="50"/>
  </r>
  <r>
    <n v="3331"/>
    <s v="Nívea Borges"/>
    <x v="2"/>
    <x v="99"/>
    <x v="0"/>
    <x v="2"/>
    <x v="0"/>
    <x v="1"/>
    <s v="-"/>
    <x v="0"/>
    <x v="0"/>
    <x v="0"/>
    <n v="25"/>
  </r>
  <r>
    <n v="3332"/>
    <s v="Oscar Nogueira"/>
    <x v="1"/>
    <x v="100"/>
    <x v="1"/>
    <x v="1"/>
    <x v="1"/>
    <x v="1"/>
    <s v="-"/>
    <x v="1"/>
    <x v="1"/>
    <x v="1"/>
    <n v="5"/>
  </r>
  <r>
    <n v="3333"/>
    <s v="Patrícia Alves"/>
    <x v="0"/>
    <x v="101"/>
    <x v="0"/>
    <x v="0"/>
    <x v="2"/>
    <x v="0"/>
    <n v="30"/>
    <x v="0"/>
    <x v="0"/>
    <x v="7"/>
    <n v="45"/>
  </r>
  <r>
    <n v="3334"/>
    <s v="Rafaela Silva"/>
    <x v="2"/>
    <x v="102"/>
    <x v="1"/>
    <x v="2"/>
    <x v="2"/>
    <x v="1"/>
    <s v="-"/>
    <x v="0"/>
    <x v="0"/>
    <x v="9"/>
    <n v="18"/>
  </r>
  <r>
    <n v="3335"/>
    <s v="Samantha Moraes"/>
    <x v="1"/>
    <x v="103"/>
    <x v="0"/>
    <x v="1"/>
    <x v="0"/>
    <x v="1"/>
    <s v="-"/>
    <x v="1"/>
    <x v="1"/>
    <x v="5"/>
    <n v="3"/>
  </r>
  <r>
    <n v="3336"/>
    <s v="Tatiana Rocha"/>
    <x v="1"/>
    <x v="104"/>
    <x v="0"/>
    <x v="1"/>
    <x v="0"/>
    <x v="1"/>
    <s v="-"/>
    <x v="1"/>
    <x v="1"/>
    <x v="1"/>
    <n v="5"/>
  </r>
  <r>
    <n v="3337"/>
    <s v="Ulisses Tavares"/>
    <x v="0"/>
    <x v="105"/>
    <x v="1"/>
    <x v="0"/>
    <x v="2"/>
    <x v="0"/>
    <n v="30"/>
    <x v="0"/>
    <x v="0"/>
    <x v="10"/>
    <n v="58"/>
  </r>
  <r>
    <n v="3338"/>
    <s v="Víctor Lemos"/>
    <x v="2"/>
    <x v="106"/>
    <x v="0"/>
    <x v="2"/>
    <x v="1"/>
    <x v="1"/>
    <s v="-"/>
    <x v="0"/>
    <x v="0"/>
    <x v="2"/>
    <n v="20"/>
  </r>
  <r>
    <n v="3339"/>
    <s v="Wilma Barros"/>
    <x v="1"/>
    <x v="107"/>
    <x v="1"/>
    <x v="1"/>
    <x v="2"/>
    <x v="1"/>
    <s v="-"/>
    <x v="1"/>
    <x v="1"/>
    <x v="4"/>
    <n v="4"/>
  </r>
  <r>
    <n v="3340"/>
    <s v="Xavier Nascimento"/>
    <x v="0"/>
    <x v="108"/>
    <x v="0"/>
    <x v="0"/>
    <x v="0"/>
    <x v="0"/>
    <n v="30"/>
    <x v="0"/>
    <x v="0"/>
    <x v="6"/>
    <n v="50"/>
  </r>
  <r>
    <n v="3341"/>
    <s v="Yago Pereira"/>
    <x v="2"/>
    <x v="109"/>
    <x v="1"/>
    <x v="2"/>
    <x v="0"/>
    <x v="1"/>
    <s v="-"/>
    <x v="0"/>
    <x v="0"/>
    <x v="0"/>
    <n v="25"/>
  </r>
  <r>
    <n v="3342"/>
    <s v="Zilda Ferreira"/>
    <x v="1"/>
    <x v="110"/>
    <x v="0"/>
    <x v="1"/>
    <x v="1"/>
    <x v="1"/>
    <s v="-"/>
    <x v="1"/>
    <x v="1"/>
    <x v="1"/>
    <n v="5"/>
  </r>
  <r>
    <n v="3343"/>
    <s v="Amanda Lopes"/>
    <x v="0"/>
    <x v="111"/>
    <x v="1"/>
    <x v="0"/>
    <x v="2"/>
    <x v="0"/>
    <n v="30"/>
    <x v="0"/>
    <x v="0"/>
    <x v="7"/>
    <n v="45"/>
  </r>
  <r>
    <n v="3344"/>
    <s v="Bruno Miranda"/>
    <x v="2"/>
    <x v="112"/>
    <x v="0"/>
    <x v="2"/>
    <x v="2"/>
    <x v="1"/>
    <s v="-"/>
    <x v="0"/>
    <x v="0"/>
    <x v="9"/>
    <n v="18"/>
  </r>
  <r>
    <n v="3345"/>
    <s v="Célia Torres"/>
    <x v="1"/>
    <x v="113"/>
    <x v="1"/>
    <x v="1"/>
    <x v="0"/>
    <x v="1"/>
    <s v="-"/>
    <x v="1"/>
    <x v="1"/>
    <x v="5"/>
    <n v="3"/>
  </r>
  <r>
    <n v="3346"/>
    <s v="Diogo Souza"/>
    <x v="0"/>
    <x v="114"/>
    <x v="0"/>
    <x v="0"/>
    <x v="1"/>
    <x v="0"/>
    <n v="30"/>
    <x v="0"/>
    <x v="0"/>
    <x v="0"/>
    <n v="60"/>
  </r>
  <r>
    <n v="3347"/>
    <s v="Elisa Castro"/>
    <x v="2"/>
    <x v="115"/>
    <x v="1"/>
    <x v="2"/>
    <x v="0"/>
    <x v="1"/>
    <s v="-"/>
    <x v="0"/>
    <x v="0"/>
    <x v="2"/>
    <n v="20"/>
  </r>
  <r>
    <n v="3348"/>
    <s v="Fátima Lima"/>
    <x v="1"/>
    <x v="116"/>
    <x v="0"/>
    <x v="1"/>
    <x v="2"/>
    <x v="1"/>
    <s v="-"/>
    <x v="1"/>
    <x v="1"/>
    <x v="1"/>
    <n v="5"/>
  </r>
  <r>
    <n v="3349"/>
    <s v="Geraldo Ribeiro"/>
    <x v="0"/>
    <x v="117"/>
    <x v="1"/>
    <x v="0"/>
    <x v="0"/>
    <x v="0"/>
    <n v="30"/>
    <x v="0"/>
    <x v="0"/>
    <x v="3"/>
    <n v="62"/>
  </r>
  <r>
    <n v="3350"/>
    <s v="Hélio Martins"/>
    <x v="2"/>
    <x v="118"/>
    <x v="0"/>
    <x v="2"/>
    <x v="1"/>
    <x v="1"/>
    <s v="-"/>
    <x v="0"/>
    <x v="0"/>
    <x v="6"/>
    <n v="15"/>
  </r>
  <r>
    <n v="3351"/>
    <s v="Íris Santos"/>
    <x v="1"/>
    <x v="119"/>
    <x v="1"/>
    <x v="1"/>
    <x v="0"/>
    <x v="1"/>
    <s v="-"/>
    <x v="1"/>
    <x v="1"/>
    <x v="4"/>
    <n v="4"/>
  </r>
  <r>
    <n v="3352"/>
    <s v="João Marcelo"/>
    <x v="0"/>
    <x v="120"/>
    <x v="0"/>
    <x v="0"/>
    <x v="2"/>
    <x v="0"/>
    <n v="30"/>
    <x v="0"/>
    <x v="0"/>
    <x v="10"/>
    <n v="58"/>
  </r>
  <r>
    <n v="3353"/>
    <s v="Larissa Gomes"/>
    <x v="2"/>
    <x v="121"/>
    <x v="1"/>
    <x v="2"/>
    <x v="0"/>
    <x v="1"/>
    <s v="-"/>
    <x v="0"/>
    <x v="0"/>
    <x v="2"/>
    <n v="20"/>
  </r>
  <r>
    <n v="3354"/>
    <s v="Márcio Silva"/>
    <x v="1"/>
    <x v="122"/>
    <x v="0"/>
    <x v="1"/>
    <x v="1"/>
    <x v="1"/>
    <s v="-"/>
    <x v="1"/>
    <x v="1"/>
    <x v="1"/>
    <n v="5"/>
  </r>
  <r>
    <n v="3355"/>
    <s v="Nadia Costa"/>
    <x v="0"/>
    <x v="123"/>
    <x v="1"/>
    <x v="0"/>
    <x v="0"/>
    <x v="0"/>
    <n v="30"/>
    <x v="0"/>
    <x v="0"/>
    <x v="7"/>
    <n v="45"/>
  </r>
  <r>
    <n v="3356"/>
    <s v="Oscar Almeida"/>
    <x v="2"/>
    <x v="124"/>
    <x v="0"/>
    <x v="2"/>
    <x v="2"/>
    <x v="1"/>
    <s v="-"/>
    <x v="0"/>
    <x v="0"/>
    <x v="6"/>
    <n v="15"/>
  </r>
  <r>
    <n v="3357"/>
    <s v="Patricia Soares"/>
    <x v="1"/>
    <x v="125"/>
    <x v="1"/>
    <x v="1"/>
    <x v="0"/>
    <x v="1"/>
    <s v="-"/>
    <x v="1"/>
    <x v="1"/>
    <x v="4"/>
    <n v="4"/>
  </r>
  <r>
    <n v="3358"/>
    <s v="Quênia Barros"/>
    <x v="0"/>
    <x v="126"/>
    <x v="0"/>
    <x v="0"/>
    <x v="1"/>
    <x v="0"/>
    <n v="30"/>
    <x v="0"/>
    <x v="0"/>
    <x v="3"/>
    <n v="62"/>
  </r>
  <r>
    <n v="3359"/>
    <s v="Rafael Torres"/>
    <x v="2"/>
    <x v="127"/>
    <x v="1"/>
    <x v="2"/>
    <x v="0"/>
    <x v="1"/>
    <s v="-"/>
    <x v="0"/>
    <x v="0"/>
    <x v="2"/>
    <n v="20"/>
  </r>
  <r>
    <n v="3360"/>
    <s v="Silvia Nascimento"/>
    <x v="1"/>
    <x v="128"/>
    <x v="0"/>
    <x v="1"/>
    <x v="2"/>
    <x v="1"/>
    <s v="-"/>
    <x v="1"/>
    <x v="1"/>
    <x v="1"/>
    <n v="5"/>
  </r>
  <r>
    <n v="3361"/>
    <s v="Tiago Mendes"/>
    <x v="0"/>
    <x v="129"/>
    <x v="1"/>
    <x v="0"/>
    <x v="0"/>
    <x v="0"/>
    <n v="30"/>
    <x v="0"/>
    <x v="0"/>
    <x v="6"/>
    <n v="50"/>
  </r>
  <r>
    <n v="3362"/>
    <s v="Ursula Silva"/>
    <x v="2"/>
    <x v="130"/>
    <x v="0"/>
    <x v="2"/>
    <x v="1"/>
    <x v="1"/>
    <s v="-"/>
    <x v="0"/>
    <x v="0"/>
    <x v="6"/>
    <n v="15"/>
  </r>
  <r>
    <n v="3363"/>
    <s v="Vanessa Moraes"/>
    <x v="1"/>
    <x v="131"/>
    <x v="1"/>
    <x v="1"/>
    <x v="0"/>
    <x v="1"/>
    <s v="-"/>
    <x v="1"/>
    <x v="1"/>
    <x v="4"/>
    <n v="4"/>
  </r>
  <r>
    <n v="3364"/>
    <s v="Waldir Junior"/>
    <x v="0"/>
    <x v="132"/>
    <x v="0"/>
    <x v="0"/>
    <x v="2"/>
    <x v="0"/>
    <n v="30"/>
    <x v="0"/>
    <x v="0"/>
    <x v="10"/>
    <n v="58"/>
  </r>
  <r>
    <n v="3365"/>
    <s v="Xavier Lopes"/>
    <x v="2"/>
    <x v="133"/>
    <x v="1"/>
    <x v="2"/>
    <x v="0"/>
    <x v="1"/>
    <s v="-"/>
    <x v="0"/>
    <x v="0"/>
    <x v="2"/>
    <n v="20"/>
  </r>
  <r>
    <n v="3366"/>
    <s v="Yolanda Freitas"/>
    <x v="1"/>
    <x v="134"/>
    <x v="0"/>
    <x v="1"/>
    <x v="0"/>
    <x v="1"/>
    <s v="-"/>
    <x v="1"/>
    <x v="1"/>
    <x v="1"/>
    <n v="5"/>
  </r>
  <r>
    <n v="3367"/>
    <s v="Zacarias Nunes"/>
    <x v="0"/>
    <x v="135"/>
    <x v="1"/>
    <x v="0"/>
    <x v="2"/>
    <x v="0"/>
    <n v="30"/>
    <x v="0"/>
    <x v="0"/>
    <x v="10"/>
    <n v="58"/>
  </r>
  <r>
    <n v="3368"/>
    <s v="Ana Clara Barreto"/>
    <x v="2"/>
    <x v="136"/>
    <x v="0"/>
    <x v="2"/>
    <x v="1"/>
    <x v="1"/>
    <s v="-"/>
    <x v="0"/>
    <x v="0"/>
    <x v="2"/>
    <n v="20"/>
  </r>
  <r>
    <n v="3369"/>
    <s v="Bruno Henrique"/>
    <x v="1"/>
    <x v="137"/>
    <x v="1"/>
    <x v="1"/>
    <x v="2"/>
    <x v="1"/>
    <s v="-"/>
    <x v="1"/>
    <x v="1"/>
    <x v="4"/>
    <n v="4"/>
  </r>
  <r>
    <n v="3370"/>
    <s v="Carlos Eduardo"/>
    <x v="0"/>
    <x v="138"/>
    <x v="0"/>
    <x v="0"/>
    <x v="0"/>
    <x v="0"/>
    <n v="30"/>
    <x v="0"/>
    <x v="0"/>
    <x v="6"/>
    <n v="50"/>
  </r>
  <r>
    <n v="3371"/>
    <s v="Débora Lima"/>
    <x v="2"/>
    <x v="139"/>
    <x v="1"/>
    <x v="2"/>
    <x v="0"/>
    <x v="1"/>
    <s v="-"/>
    <x v="0"/>
    <x v="0"/>
    <x v="0"/>
    <n v="25"/>
  </r>
  <r>
    <n v="3372"/>
    <s v="Elisa Neves"/>
    <x v="1"/>
    <x v="140"/>
    <x v="0"/>
    <x v="1"/>
    <x v="1"/>
    <x v="1"/>
    <s v="-"/>
    <x v="1"/>
    <x v="1"/>
    <x v="1"/>
    <n v="5"/>
  </r>
  <r>
    <n v="3373"/>
    <s v="Fabiano Gomes"/>
    <x v="0"/>
    <x v="141"/>
    <x v="1"/>
    <x v="0"/>
    <x v="2"/>
    <x v="0"/>
    <n v="30"/>
    <x v="0"/>
    <x v="0"/>
    <x v="7"/>
    <n v="45"/>
  </r>
  <r>
    <n v="3374"/>
    <s v="Gisele Oliveira"/>
    <x v="2"/>
    <x v="142"/>
    <x v="0"/>
    <x v="2"/>
    <x v="2"/>
    <x v="1"/>
    <s v="-"/>
    <x v="0"/>
    <x v="0"/>
    <x v="9"/>
    <n v="18"/>
  </r>
  <r>
    <n v="3375"/>
    <s v="Héctor Silva"/>
    <x v="1"/>
    <x v="143"/>
    <x v="1"/>
    <x v="1"/>
    <x v="0"/>
    <x v="1"/>
    <s v="-"/>
    <x v="1"/>
    <x v="1"/>
    <x v="5"/>
    <n v="3"/>
  </r>
  <r>
    <n v="3376"/>
    <s v="Igor Martins"/>
    <x v="0"/>
    <x v="144"/>
    <x v="0"/>
    <x v="0"/>
    <x v="1"/>
    <x v="0"/>
    <n v="30"/>
    <x v="0"/>
    <x v="0"/>
    <x v="0"/>
    <n v="60"/>
  </r>
  <r>
    <n v="3377"/>
    <s v="Joana Figueiredo"/>
    <x v="2"/>
    <x v="145"/>
    <x v="1"/>
    <x v="2"/>
    <x v="0"/>
    <x v="1"/>
    <s v="-"/>
    <x v="0"/>
    <x v="0"/>
    <x v="2"/>
    <n v="20"/>
  </r>
  <r>
    <n v="3378"/>
    <s v="Kleber Machado"/>
    <x v="1"/>
    <x v="146"/>
    <x v="0"/>
    <x v="1"/>
    <x v="2"/>
    <x v="1"/>
    <s v="-"/>
    <x v="1"/>
    <x v="1"/>
    <x v="1"/>
    <n v="5"/>
  </r>
  <r>
    <n v="3379"/>
    <s v="Luciana Santos"/>
    <x v="0"/>
    <x v="147"/>
    <x v="1"/>
    <x v="0"/>
    <x v="0"/>
    <x v="0"/>
    <n v="30"/>
    <x v="0"/>
    <x v="0"/>
    <x v="3"/>
    <n v="62"/>
  </r>
  <r>
    <n v="3380"/>
    <s v="Marcos Teixeira"/>
    <x v="2"/>
    <x v="148"/>
    <x v="0"/>
    <x v="2"/>
    <x v="1"/>
    <x v="1"/>
    <s v="-"/>
    <x v="0"/>
    <x v="0"/>
    <x v="6"/>
    <n v="15"/>
  </r>
  <r>
    <n v="3381"/>
    <s v="Natalia Costa"/>
    <x v="1"/>
    <x v="149"/>
    <x v="1"/>
    <x v="1"/>
    <x v="0"/>
    <x v="1"/>
    <s v="-"/>
    <x v="1"/>
    <x v="1"/>
    <x v="4"/>
    <n v="4"/>
  </r>
  <r>
    <n v="3382"/>
    <s v="Oscar Ribeiro"/>
    <x v="0"/>
    <x v="150"/>
    <x v="0"/>
    <x v="0"/>
    <x v="2"/>
    <x v="0"/>
    <n v="30"/>
    <x v="0"/>
    <x v="0"/>
    <x v="10"/>
    <n v="58"/>
  </r>
  <r>
    <n v="3383"/>
    <s v="Patricia Almeida"/>
    <x v="2"/>
    <x v="151"/>
    <x v="1"/>
    <x v="2"/>
    <x v="0"/>
    <x v="1"/>
    <s v="-"/>
    <x v="0"/>
    <x v="0"/>
    <x v="2"/>
    <n v="20"/>
  </r>
  <r>
    <n v="3384"/>
    <s v="Quirino Junior"/>
    <x v="1"/>
    <x v="152"/>
    <x v="0"/>
    <x v="1"/>
    <x v="1"/>
    <x v="1"/>
    <s v="-"/>
    <x v="1"/>
    <x v="1"/>
    <x v="1"/>
    <n v="5"/>
  </r>
  <r>
    <n v="3385"/>
    <s v="Renata Machado"/>
    <x v="0"/>
    <x v="153"/>
    <x v="1"/>
    <x v="0"/>
    <x v="0"/>
    <x v="0"/>
    <n v="30"/>
    <x v="0"/>
    <x v="0"/>
    <x v="7"/>
    <n v="45"/>
  </r>
  <r>
    <n v="3386"/>
    <s v="Sônia Alves"/>
    <x v="2"/>
    <x v="154"/>
    <x v="0"/>
    <x v="2"/>
    <x v="2"/>
    <x v="1"/>
    <s v="-"/>
    <x v="0"/>
    <x v="0"/>
    <x v="6"/>
    <n v="15"/>
  </r>
  <r>
    <n v="3387"/>
    <s v="Tiago Nunes"/>
    <x v="1"/>
    <x v="155"/>
    <x v="1"/>
    <x v="1"/>
    <x v="0"/>
    <x v="1"/>
    <s v="-"/>
    <x v="1"/>
    <x v="1"/>
    <x v="4"/>
    <n v="4"/>
  </r>
  <r>
    <n v="3388"/>
    <s v="Ulysses Pereira"/>
    <x v="0"/>
    <x v="156"/>
    <x v="0"/>
    <x v="0"/>
    <x v="1"/>
    <x v="0"/>
    <n v="30"/>
    <x v="0"/>
    <x v="0"/>
    <x v="3"/>
    <n v="62"/>
  </r>
  <r>
    <n v="3389"/>
    <s v="Vanessa Lima"/>
    <x v="2"/>
    <x v="157"/>
    <x v="1"/>
    <x v="2"/>
    <x v="0"/>
    <x v="1"/>
    <s v="-"/>
    <x v="0"/>
    <x v="0"/>
    <x v="2"/>
    <n v="20"/>
  </r>
  <r>
    <n v="3390"/>
    <s v="Wagner Santos"/>
    <x v="1"/>
    <x v="158"/>
    <x v="0"/>
    <x v="1"/>
    <x v="2"/>
    <x v="1"/>
    <s v="-"/>
    <x v="1"/>
    <x v="1"/>
    <x v="1"/>
    <n v="5"/>
  </r>
  <r>
    <n v="3391"/>
    <s v="Xuxa Meneghel"/>
    <x v="0"/>
    <x v="159"/>
    <x v="1"/>
    <x v="0"/>
    <x v="0"/>
    <x v="0"/>
    <n v="30"/>
    <x v="0"/>
    <x v="0"/>
    <x v="6"/>
    <n v="50"/>
  </r>
  <r>
    <n v="3392"/>
    <s v="Yasmin Silva"/>
    <x v="2"/>
    <x v="160"/>
    <x v="0"/>
    <x v="2"/>
    <x v="1"/>
    <x v="1"/>
    <s v="-"/>
    <x v="0"/>
    <x v="0"/>
    <x v="6"/>
    <n v="15"/>
  </r>
  <r>
    <n v="3393"/>
    <s v="Zacarias de Souza"/>
    <x v="1"/>
    <x v="161"/>
    <x v="1"/>
    <x v="1"/>
    <x v="0"/>
    <x v="1"/>
    <s v="-"/>
    <x v="1"/>
    <x v="1"/>
    <x v="4"/>
    <n v="4"/>
  </r>
  <r>
    <n v="3394"/>
    <s v="André Lima"/>
    <x v="0"/>
    <x v="162"/>
    <x v="0"/>
    <x v="0"/>
    <x v="2"/>
    <x v="0"/>
    <n v="30"/>
    <x v="0"/>
    <x v="0"/>
    <x v="10"/>
    <n v="58"/>
  </r>
  <r>
    <n v="3395"/>
    <s v="Bianca Freitas"/>
    <x v="2"/>
    <x v="163"/>
    <x v="1"/>
    <x v="2"/>
    <x v="0"/>
    <x v="1"/>
    <s v="-"/>
    <x v="0"/>
    <x v="0"/>
    <x v="2"/>
    <n v="20"/>
  </r>
  <r>
    <n v="3396"/>
    <s v="Caio Mendes"/>
    <x v="1"/>
    <x v="164"/>
    <x v="0"/>
    <x v="1"/>
    <x v="1"/>
    <x v="1"/>
    <s v="-"/>
    <x v="1"/>
    <x v="1"/>
    <x v="1"/>
    <n v="5"/>
  </r>
  <r>
    <n v="3397"/>
    <s v="Daniela Moura"/>
    <x v="0"/>
    <x v="165"/>
    <x v="1"/>
    <x v="0"/>
    <x v="0"/>
    <x v="0"/>
    <n v="30"/>
    <x v="0"/>
    <x v="0"/>
    <x v="7"/>
    <n v="45"/>
  </r>
  <r>
    <n v="3398"/>
    <s v="Eduardo Costa"/>
    <x v="2"/>
    <x v="166"/>
    <x v="0"/>
    <x v="2"/>
    <x v="2"/>
    <x v="1"/>
    <s v="-"/>
    <x v="0"/>
    <x v="0"/>
    <x v="6"/>
    <n v="15"/>
  </r>
  <r>
    <n v="3399"/>
    <s v="Fernanda Gomes"/>
    <x v="1"/>
    <x v="167"/>
    <x v="1"/>
    <x v="1"/>
    <x v="0"/>
    <x v="1"/>
    <s v="-"/>
    <x v="1"/>
    <x v="1"/>
    <x v="4"/>
    <n v="4"/>
  </r>
  <r>
    <n v="3400"/>
    <s v="Guilherme Souza"/>
    <x v="0"/>
    <x v="168"/>
    <x v="0"/>
    <x v="0"/>
    <x v="1"/>
    <x v="0"/>
    <n v="30"/>
    <x v="0"/>
    <x v="0"/>
    <x v="0"/>
    <n v="60"/>
  </r>
  <r>
    <n v="3401"/>
    <s v="Helena Ribeiro"/>
    <x v="2"/>
    <x v="169"/>
    <x v="1"/>
    <x v="2"/>
    <x v="0"/>
    <x v="1"/>
    <s v="-"/>
    <x v="0"/>
    <x v="0"/>
    <x v="2"/>
    <n v="20"/>
  </r>
  <r>
    <n v="3402"/>
    <s v="Igor Santos"/>
    <x v="1"/>
    <x v="170"/>
    <x v="0"/>
    <x v="1"/>
    <x v="2"/>
    <x v="1"/>
    <s v="-"/>
    <x v="1"/>
    <x v="1"/>
    <x v="1"/>
    <n v="5"/>
  </r>
  <r>
    <n v="3403"/>
    <s v="João Carvalho"/>
    <x v="0"/>
    <x v="171"/>
    <x v="1"/>
    <x v="0"/>
    <x v="0"/>
    <x v="0"/>
    <n v="30"/>
    <x v="0"/>
    <x v="0"/>
    <x v="3"/>
    <n v="62"/>
  </r>
  <r>
    <n v="3404"/>
    <s v="Klara Fagundes"/>
    <x v="2"/>
    <x v="172"/>
    <x v="0"/>
    <x v="2"/>
    <x v="1"/>
    <x v="1"/>
    <s v="-"/>
    <x v="0"/>
    <x v="0"/>
    <x v="6"/>
    <n v="15"/>
  </r>
  <r>
    <n v="3405"/>
    <s v="Lúcia Mendonça"/>
    <x v="1"/>
    <x v="173"/>
    <x v="1"/>
    <x v="1"/>
    <x v="0"/>
    <x v="1"/>
    <s v="-"/>
    <x v="1"/>
    <x v="1"/>
    <x v="4"/>
    <n v="4"/>
  </r>
  <r>
    <n v="3406"/>
    <s v="Marcelo Novaes"/>
    <x v="1"/>
    <x v="174"/>
    <x v="0"/>
    <x v="1"/>
    <x v="0"/>
    <x v="1"/>
    <s v="-"/>
    <x v="1"/>
    <x v="1"/>
    <x v="1"/>
    <n v="5"/>
  </r>
  <r>
    <n v="3407"/>
    <s v="Nina Pacheco"/>
    <x v="0"/>
    <x v="175"/>
    <x v="1"/>
    <x v="0"/>
    <x v="2"/>
    <x v="0"/>
    <n v="30"/>
    <x v="0"/>
    <x v="0"/>
    <x v="10"/>
    <n v="58"/>
  </r>
  <r>
    <n v="3408"/>
    <s v="Olívia Rios"/>
    <x v="2"/>
    <x v="176"/>
    <x v="0"/>
    <x v="2"/>
    <x v="1"/>
    <x v="1"/>
    <s v="-"/>
    <x v="0"/>
    <x v="0"/>
    <x v="2"/>
    <n v="20"/>
  </r>
  <r>
    <n v="3409"/>
    <s v="Paulo Quintana"/>
    <x v="1"/>
    <x v="177"/>
    <x v="1"/>
    <x v="1"/>
    <x v="2"/>
    <x v="1"/>
    <s v="-"/>
    <x v="1"/>
    <x v="1"/>
    <x v="4"/>
    <n v="4"/>
  </r>
  <r>
    <n v="3410"/>
    <s v="Raquel Domingos"/>
    <x v="0"/>
    <x v="178"/>
    <x v="0"/>
    <x v="0"/>
    <x v="0"/>
    <x v="0"/>
    <n v="30"/>
    <x v="0"/>
    <x v="0"/>
    <x v="6"/>
    <n v="50"/>
  </r>
  <r>
    <n v="3411"/>
    <s v="Samuel Viana"/>
    <x v="2"/>
    <x v="179"/>
    <x v="1"/>
    <x v="2"/>
    <x v="0"/>
    <x v="1"/>
    <s v="-"/>
    <x v="0"/>
    <x v="0"/>
    <x v="0"/>
    <n v="25"/>
  </r>
  <r>
    <n v="3412"/>
    <s v="Tatiane Rocha"/>
    <x v="1"/>
    <x v="180"/>
    <x v="0"/>
    <x v="1"/>
    <x v="1"/>
    <x v="1"/>
    <s v="-"/>
    <x v="1"/>
    <x v="1"/>
    <x v="1"/>
    <n v="5"/>
  </r>
  <r>
    <n v="3413"/>
    <s v="Ulysses Farias"/>
    <x v="0"/>
    <x v="181"/>
    <x v="1"/>
    <x v="0"/>
    <x v="2"/>
    <x v="0"/>
    <n v="30"/>
    <x v="0"/>
    <x v="0"/>
    <x v="7"/>
    <n v="45"/>
  </r>
  <r>
    <n v="3414"/>
    <s v="Vanessa Moreira"/>
    <x v="2"/>
    <x v="182"/>
    <x v="0"/>
    <x v="2"/>
    <x v="2"/>
    <x v="1"/>
    <s v="-"/>
    <x v="0"/>
    <x v="0"/>
    <x v="9"/>
    <n v="18"/>
  </r>
  <r>
    <n v="3415"/>
    <s v="William Carvalho"/>
    <x v="1"/>
    <x v="183"/>
    <x v="1"/>
    <x v="1"/>
    <x v="0"/>
    <x v="1"/>
    <s v="-"/>
    <x v="1"/>
    <x v="1"/>
    <x v="5"/>
    <n v="3"/>
  </r>
  <r>
    <n v="3416"/>
    <s v="Ximena Barros"/>
    <x v="0"/>
    <x v="184"/>
    <x v="0"/>
    <x v="0"/>
    <x v="1"/>
    <x v="0"/>
    <n v="30"/>
    <x v="0"/>
    <x v="0"/>
    <x v="0"/>
    <n v="60"/>
  </r>
  <r>
    <n v="3417"/>
    <s v="Yara Machado"/>
    <x v="2"/>
    <x v="185"/>
    <x v="1"/>
    <x v="2"/>
    <x v="0"/>
    <x v="1"/>
    <s v="-"/>
    <x v="0"/>
    <x v="0"/>
    <x v="2"/>
    <n v="20"/>
  </r>
  <r>
    <n v="3418"/>
    <s v="Zacarias Costa"/>
    <x v="1"/>
    <x v="186"/>
    <x v="0"/>
    <x v="1"/>
    <x v="2"/>
    <x v="1"/>
    <s v="-"/>
    <x v="1"/>
    <x v="1"/>
    <x v="1"/>
    <n v="5"/>
  </r>
  <r>
    <n v="3419"/>
    <s v="André Lopes"/>
    <x v="0"/>
    <x v="187"/>
    <x v="1"/>
    <x v="0"/>
    <x v="0"/>
    <x v="0"/>
    <n v="30"/>
    <x v="0"/>
    <x v="0"/>
    <x v="3"/>
    <n v="62"/>
  </r>
  <r>
    <n v="3420"/>
    <s v="Beatriz Souza"/>
    <x v="2"/>
    <x v="188"/>
    <x v="0"/>
    <x v="2"/>
    <x v="1"/>
    <x v="1"/>
    <s v="-"/>
    <x v="0"/>
    <x v="0"/>
    <x v="6"/>
    <n v="15"/>
  </r>
  <r>
    <n v="3421"/>
    <s v="Caio Pereira"/>
    <x v="1"/>
    <x v="189"/>
    <x v="1"/>
    <x v="1"/>
    <x v="0"/>
    <x v="1"/>
    <s v="-"/>
    <x v="1"/>
    <x v="1"/>
    <x v="4"/>
    <n v="4"/>
  </r>
  <r>
    <n v="3422"/>
    <s v="Daniela Araújo"/>
    <x v="0"/>
    <x v="190"/>
    <x v="0"/>
    <x v="0"/>
    <x v="2"/>
    <x v="0"/>
    <n v="30"/>
    <x v="0"/>
    <x v="0"/>
    <x v="10"/>
    <n v="58"/>
  </r>
  <r>
    <n v="3423"/>
    <s v="Eduardo Santos"/>
    <x v="2"/>
    <x v="191"/>
    <x v="1"/>
    <x v="2"/>
    <x v="0"/>
    <x v="1"/>
    <s v="-"/>
    <x v="0"/>
    <x v="0"/>
    <x v="2"/>
    <n v="20"/>
  </r>
  <r>
    <n v="3424"/>
    <s v="Fernanda Lima"/>
    <x v="1"/>
    <x v="192"/>
    <x v="0"/>
    <x v="1"/>
    <x v="1"/>
    <x v="1"/>
    <s v="-"/>
    <x v="1"/>
    <x v="1"/>
    <x v="1"/>
    <n v="5"/>
  </r>
  <r>
    <n v="3425"/>
    <s v="Gabriel Teixeira"/>
    <x v="0"/>
    <x v="193"/>
    <x v="1"/>
    <x v="0"/>
    <x v="0"/>
    <x v="0"/>
    <n v="30"/>
    <x v="0"/>
    <x v="0"/>
    <x v="7"/>
    <n v="45"/>
  </r>
  <r>
    <n v="3426"/>
    <s v="Helena Ribeiro"/>
    <x v="2"/>
    <x v="194"/>
    <x v="0"/>
    <x v="2"/>
    <x v="2"/>
    <x v="1"/>
    <s v="-"/>
    <x v="0"/>
    <x v="0"/>
    <x v="6"/>
    <n v="15"/>
  </r>
  <r>
    <n v="3427"/>
    <s v="Igor Mendes"/>
    <x v="1"/>
    <x v="195"/>
    <x v="1"/>
    <x v="1"/>
    <x v="0"/>
    <x v="1"/>
    <s v="-"/>
    <x v="1"/>
    <x v="1"/>
    <x v="4"/>
    <n v="4"/>
  </r>
  <r>
    <n v="3428"/>
    <s v="Joana Silveira"/>
    <x v="0"/>
    <x v="196"/>
    <x v="0"/>
    <x v="0"/>
    <x v="1"/>
    <x v="0"/>
    <n v="30"/>
    <x v="0"/>
    <x v="0"/>
    <x v="3"/>
    <n v="62"/>
  </r>
  <r>
    <n v="3429"/>
    <s v="Lucas Martins"/>
    <x v="2"/>
    <x v="197"/>
    <x v="1"/>
    <x v="2"/>
    <x v="0"/>
    <x v="1"/>
    <s v="-"/>
    <x v="0"/>
    <x v="0"/>
    <x v="2"/>
    <n v="20"/>
  </r>
  <r>
    <n v="3430"/>
    <s v="Marcela Gouveia"/>
    <x v="1"/>
    <x v="198"/>
    <x v="0"/>
    <x v="1"/>
    <x v="2"/>
    <x v="1"/>
    <s v="-"/>
    <x v="1"/>
    <x v="1"/>
    <x v="1"/>
    <n v="5"/>
  </r>
  <r>
    <n v="3431"/>
    <s v="Nicolas Borges"/>
    <x v="0"/>
    <x v="199"/>
    <x v="1"/>
    <x v="0"/>
    <x v="0"/>
    <x v="0"/>
    <n v="30"/>
    <x v="0"/>
    <x v="0"/>
    <x v="6"/>
    <n v="50"/>
  </r>
  <r>
    <n v="3432"/>
    <s v="Olivia Freitas"/>
    <x v="2"/>
    <x v="200"/>
    <x v="0"/>
    <x v="2"/>
    <x v="1"/>
    <x v="1"/>
    <s v="-"/>
    <x v="0"/>
    <x v="0"/>
    <x v="6"/>
    <n v="15"/>
  </r>
  <r>
    <n v="3433"/>
    <s v="Paulo Nogueira"/>
    <x v="1"/>
    <x v="201"/>
    <x v="1"/>
    <x v="1"/>
    <x v="0"/>
    <x v="1"/>
    <s v="-"/>
    <x v="1"/>
    <x v="1"/>
    <x v="4"/>
    <n v="4"/>
  </r>
  <r>
    <n v="3434"/>
    <s v="Raquel Andrade"/>
    <x v="0"/>
    <x v="202"/>
    <x v="0"/>
    <x v="0"/>
    <x v="2"/>
    <x v="0"/>
    <n v="30"/>
    <x v="0"/>
    <x v="0"/>
    <x v="10"/>
    <n v="58"/>
  </r>
  <r>
    <n v="3435"/>
    <s v="Sônia Carvalho"/>
    <x v="2"/>
    <x v="203"/>
    <x v="1"/>
    <x v="2"/>
    <x v="0"/>
    <x v="1"/>
    <s v="-"/>
    <x v="0"/>
    <x v="0"/>
    <x v="2"/>
    <n v="20"/>
  </r>
  <r>
    <n v="3436"/>
    <s v="Tiago Rodrigues"/>
    <x v="1"/>
    <x v="204"/>
    <x v="0"/>
    <x v="1"/>
    <x v="0"/>
    <x v="1"/>
    <s v="-"/>
    <x v="1"/>
    <x v="1"/>
    <x v="1"/>
    <n v="5"/>
  </r>
  <r>
    <n v="3437"/>
    <s v="Ursula Monteiro"/>
    <x v="0"/>
    <x v="205"/>
    <x v="1"/>
    <x v="0"/>
    <x v="2"/>
    <x v="0"/>
    <n v="30"/>
    <x v="0"/>
    <x v="0"/>
    <x v="10"/>
    <n v="58"/>
  </r>
  <r>
    <n v="3438"/>
    <s v="Vanessa Pereira"/>
    <x v="2"/>
    <x v="206"/>
    <x v="0"/>
    <x v="2"/>
    <x v="1"/>
    <x v="1"/>
    <s v="-"/>
    <x v="0"/>
    <x v="0"/>
    <x v="2"/>
    <n v="20"/>
  </r>
  <r>
    <n v="3439"/>
    <s v="Walter Silva"/>
    <x v="1"/>
    <x v="207"/>
    <x v="1"/>
    <x v="1"/>
    <x v="2"/>
    <x v="1"/>
    <s v="-"/>
    <x v="1"/>
    <x v="1"/>
    <x v="4"/>
    <n v="4"/>
  </r>
  <r>
    <n v="3440"/>
    <s v="Xavier Almeida"/>
    <x v="0"/>
    <x v="208"/>
    <x v="0"/>
    <x v="0"/>
    <x v="0"/>
    <x v="0"/>
    <n v="30"/>
    <x v="0"/>
    <x v="0"/>
    <x v="6"/>
    <n v="50"/>
  </r>
  <r>
    <n v="3441"/>
    <s v="Yasmine Correia"/>
    <x v="2"/>
    <x v="209"/>
    <x v="1"/>
    <x v="2"/>
    <x v="0"/>
    <x v="1"/>
    <s v="-"/>
    <x v="0"/>
    <x v="0"/>
    <x v="0"/>
    <n v="25"/>
  </r>
  <r>
    <n v="3442"/>
    <s v="Zacarias Almeida"/>
    <x v="1"/>
    <x v="210"/>
    <x v="0"/>
    <x v="1"/>
    <x v="1"/>
    <x v="1"/>
    <s v="-"/>
    <x v="1"/>
    <x v="1"/>
    <x v="1"/>
    <n v="5"/>
  </r>
  <r>
    <n v="3443"/>
    <s v="Amanda Costa"/>
    <x v="0"/>
    <x v="211"/>
    <x v="1"/>
    <x v="0"/>
    <x v="2"/>
    <x v="0"/>
    <n v="30"/>
    <x v="0"/>
    <x v="0"/>
    <x v="7"/>
    <n v="45"/>
  </r>
  <r>
    <n v="3444"/>
    <s v="Bruno Ferreira"/>
    <x v="2"/>
    <x v="212"/>
    <x v="0"/>
    <x v="2"/>
    <x v="2"/>
    <x v="1"/>
    <s v="-"/>
    <x v="0"/>
    <x v="0"/>
    <x v="9"/>
    <n v="18"/>
  </r>
  <r>
    <n v="3445"/>
    <s v="Carla Dias"/>
    <x v="1"/>
    <x v="213"/>
    <x v="1"/>
    <x v="1"/>
    <x v="0"/>
    <x v="1"/>
    <s v="-"/>
    <x v="1"/>
    <x v="1"/>
    <x v="5"/>
    <n v="3"/>
  </r>
  <r>
    <n v="3446"/>
    <s v="Diogo Martins"/>
    <x v="0"/>
    <x v="214"/>
    <x v="0"/>
    <x v="0"/>
    <x v="1"/>
    <x v="0"/>
    <n v="30"/>
    <x v="0"/>
    <x v="0"/>
    <x v="0"/>
    <n v="60"/>
  </r>
  <r>
    <n v="3447"/>
    <s v="Elisa Campos"/>
    <x v="2"/>
    <x v="215"/>
    <x v="1"/>
    <x v="2"/>
    <x v="0"/>
    <x v="1"/>
    <s v="-"/>
    <x v="0"/>
    <x v="0"/>
    <x v="2"/>
    <n v="20"/>
  </r>
  <r>
    <n v="3448"/>
    <s v="Fabiana Lima"/>
    <x v="1"/>
    <x v="216"/>
    <x v="0"/>
    <x v="1"/>
    <x v="2"/>
    <x v="1"/>
    <s v="-"/>
    <x v="1"/>
    <x v="1"/>
    <x v="1"/>
    <n v="5"/>
  </r>
  <r>
    <n v="3449"/>
    <s v="Gabriel Santos"/>
    <x v="0"/>
    <x v="217"/>
    <x v="1"/>
    <x v="0"/>
    <x v="0"/>
    <x v="0"/>
    <n v="30"/>
    <x v="0"/>
    <x v="0"/>
    <x v="3"/>
    <n v="62"/>
  </r>
  <r>
    <n v="3450"/>
    <s v="Helena Ferreira"/>
    <x v="2"/>
    <x v="218"/>
    <x v="0"/>
    <x v="2"/>
    <x v="1"/>
    <x v="1"/>
    <s v="-"/>
    <x v="0"/>
    <x v="0"/>
    <x v="6"/>
    <n v="15"/>
  </r>
  <r>
    <n v="3451"/>
    <s v="Ígor Nunes"/>
    <x v="1"/>
    <x v="219"/>
    <x v="1"/>
    <x v="1"/>
    <x v="0"/>
    <x v="1"/>
    <s v="-"/>
    <x v="1"/>
    <x v="1"/>
    <x v="4"/>
    <n v="4"/>
  </r>
  <r>
    <n v="3452"/>
    <s v="Joana Silveira"/>
    <x v="0"/>
    <x v="220"/>
    <x v="0"/>
    <x v="0"/>
    <x v="2"/>
    <x v="0"/>
    <n v="30"/>
    <x v="0"/>
    <x v="0"/>
    <x v="10"/>
    <n v="58"/>
  </r>
  <r>
    <n v="3453"/>
    <s v="Kléber Oliveira"/>
    <x v="2"/>
    <x v="221"/>
    <x v="1"/>
    <x v="2"/>
    <x v="0"/>
    <x v="1"/>
    <s v="-"/>
    <x v="0"/>
    <x v="0"/>
    <x v="2"/>
    <n v="20"/>
  </r>
  <r>
    <n v="3454"/>
    <s v="Luciana Morais"/>
    <x v="1"/>
    <x v="222"/>
    <x v="0"/>
    <x v="1"/>
    <x v="1"/>
    <x v="1"/>
    <s v="-"/>
    <x v="1"/>
    <x v="1"/>
    <x v="1"/>
    <n v="5"/>
  </r>
  <r>
    <n v="3455"/>
    <s v="Marcos Vinícius"/>
    <x v="0"/>
    <x v="223"/>
    <x v="1"/>
    <x v="0"/>
    <x v="0"/>
    <x v="0"/>
    <n v="30"/>
    <x v="0"/>
    <x v="0"/>
    <x v="7"/>
    <n v="45"/>
  </r>
  <r>
    <n v="3456"/>
    <s v="Natália Barros"/>
    <x v="2"/>
    <x v="224"/>
    <x v="0"/>
    <x v="2"/>
    <x v="2"/>
    <x v="1"/>
    <s v="-"/>
    <x v="0"/>
    <x v="0"/>
    <x v="6"/>
    <n v="15"/>
  </r>
  <r>
    <n v="3457"/>
    <s v="Oscar Sampaio"/>
    <x v="1"/>
    <x v="225"/>
    <x v="1"/>
    <x v="1"/>
    <x v="0"/>
    <x v="1"/>
    <s v="-"/>
    <x v="1"/>
    <x v="1"/>
    <x v="4"/>
    <n v="4"/>
  </r>
  <r>
    <n v="3458"/>
    <s v="Patrícia Leite"/>
    <x v="0"/>
    <x v="226"/>
    <x v="0"/>
    <x v="0"/>
    <x v="1"/>
    <x v="0"/>
    <n v="30"/>
    <x v="0"/>
    <x v="0"/>
    <x v="3"/>
    <n v="62"/>
  </r>
  <r>
    <n v="3459"/>
    <s v="Quênia Rocha"/>
    <x v="2"/>
    <x v="227"/>
    <x v="1"/>
    <x v="2"/>
    <x v="0"/>
    <x v="1"/>
    <s v="-"/>
    <x v="0"/>
    <x v="0"/>
    <x v="2"/>
    <n v="20"/>
  </r>
  <r>
    <n v="3460"/>
    <s v="Rafael Torres"/>
    <x v="1"/>
    <x v="228"/>
    <x v="0"/>
    <x v="1"/>
    <x v="2"/>
    <x v="1"/>
    <s v="-"/>
    <x v="1"/>
    <x v="1"/>
    <x v="1"/>
    <n v="5"/>
  </r>
  <r>
    <n v="3461"/>
    <s v="Sandra Gouveia"/>
    <x v="0"/>
    <x v="229"/>
    <x v="1"/>
    <x v="0"/>
    <x v="0"/>
    <x v="0"/>
    <n v="30"/>
    <x v="0"/>
    <x v="0"/>
    <x v="6"/>
    <n v="50"/>
  </r>
  <r>
    <n v="3462"/>
    <s v="Tiago Lacerda"/>
    <x v="2"/>
    <x v="230"/>
    <x v="0"/>
    <x v="2"/>
    <x v="1"/>
    <x v="1"/>
    <s v="-"/>
    <x v="0"/>
    <x v="0"/>
    <x v="6"/>
    <n v="15"/>
  </r>
  <r>
    <n v="3463"/>
    <s v="Ursula Fonseca"/>
    <x v="1"/>
    <x v="231"/>
    <x v="1"/>
    <x v="1"/>
    <x v="0"/>
    <x v="1"/>
    <s v="-"/>
    <x v="1"/>
    <x v="1"/>
    <x v="4"/>
    <n v="4"/>
  </r>
  <r>
    <n v="3464"/>
    <s v="Vanessa Andrade"/>
    <x v="0"/>
    <x v="232"/>
    <x v="0"/>
    <x v="0"/>
    <x v="2"/>
    <x v="0"/>
    <n v="30"/>
    <x v="0"/>
    <x v="0"/>
    <x v="10"/>
    <n v="58"/>
  </r>
  <r>
    <n v="3465"/>
    <s v="William Castro"/>
    <x v="2"/>
    <x v="233"/>
    <x v="1"/>
    <x v="2"/>
    <x v="0"/>
    <x v="1"/>
    <s v="-"/>
    <x v="0"/>
    <x v="0"/>
    <x v="2"/>
    <n v="20"/>
  </r>
  <r>
    <n v="3466"/>
    <s v="Xavier Monteiro"/>
    <x v="1"/>
    <x v="234"/>
    <x v="0"/>
    <x v="1"/>
    <x v="1"/>
    <x v="1"/>
    <s v="-"/>
    <x v="1"/>
    <x v="1"/>
    <x v="1"/>
    <n v="5"/>
  </r>
  <r>
    <n v="3467"/>
    <s v="Yasmin Figueira"/>
    <x v="0"/>
    <x v="235"/>
    <x v="1"/>
    <x v="0"/>
    <x v="0"/>
    <x v="0"/>
    <n v="30"/>
    <x v="0"/>
    <x v="0"/>
    <x v="6"/>
    <n v="50"/>
  </r>
  <r>
    <n v="3468"/>
    <s v="Zacarias Mendonça"/>
    <x v="2"/>
    <x v="236"/>
    <x v="0"/>
    <x v="2"/>
    <x v="2"/>
    <x v="1"/>
    <s v="-"/>
    <x v="0"/>
    <x v="0"/>
    <x v="9"/>
    <n v="18"/>
  </r>
  <r>
    <n v="3469"/>
    <s v="Amanda Menezes"/>
    <x v="1"/>
    <x v="237"/>
    <x v="1"/>
    <x v="1"/>
    <x v="0"/>
    <x v="1"/>
    <s v="-"/>
    <x v="1"/>
    <x v="1"/>
    <x v="5"/>
    <n v="3"/>
  </r>
  <r>
    <n v="3470"/>
    <s v="Bruno Santos"/>
    <x v="0"/>
    <x v="238"/>
    <x v="0"/>
    <x v="0"/>
    <x v="1"/>
    <x v="0"/>
    <n v="30"/>
    <x v="0"/>
    <x v="0"/>
    <x v="0"/>
    <n v="60"/>
  </r>
  <r>
    <n v="3471"/>
    <s v="Carla Ferreira"/>
    <x v="2"/>
    <x v="239"/>
    <x v="1"/>
    <x v="2"/>
    <x v="0"/>
    <x v="1"/>
    <s v="-"/>
    <x v="0"/>
    <x v="0"/>
    <x v="2"/>
    <n v="20"/>
  </r>
  <r>
    <n v="3472"/>
    <s v="Diogo Alves"/>
    <x v="1"/>
    <x v="240"/>
    <x v="0"/>
    <x v="1"/>
    <x v="2"/>
    <x v="1"/>
    <s v="-"/>
    <x v="1"/>
    <x v="1"/>
    <x v="1"/>
    <n v="5"/>
  </r>
  <r>
    <n v="3473"/>
    <s v="Elisa Neves"/>
    <x v="0"/>
    <x v="241"/>
    <x v="1"/>
    <x v="0"/>
    <x v="0"/>
    <x v="0"/>
    <n v="30"/>
    <x v="0"/>
    <x v="0"/>
    <x v="3"/>
    <n v="62"/>
  </r>
  <r>
    <n v="3474"/>
    <s v="Fabiano Pires"/>
    <x v="2"/>
    <x v="242"/>
    <x v="0"/>
    <x v="2"/>
    <x v="1"/>
    <x v="1"/>
    <s v="-"/>
    <x v="0"/>
    <x v="0"/>
    <x v="6"/>
    <n v="15"/>
  </r>
  <r>
    <n v="3475"/>
    <s v="Giovana Ribeiro"/>
    <x v="1"/>
    <x v="243"/>
    <x v="1"/>
    <x v="1"/>
    <x v="0"/>
    <x v="1"/>
    <s v="-"/>
    <x v="1"/>
    <x v="1"/>
    <x v="4"/>
    <n v="4"/>
  </r>
  <r>
    <n v="3476"/>
    <s v="Hélio Costa"/>
    <x v="0"/>
    <x v="244"/>
    <x v="0"/>
    <x v="0"/>
    <x v="2"/>
    <x v="0"/>
    <n v="30"/>
    <x v="0"/>
    <x v="0"/>
    <x v="10"/>
    <n v="58"/>
  </r>
  <r>
    <n v="3477"/>
    <s v="Íris Loureiro"/>
    <x v="2"/>
    <x v="245"/>
    <x v="1"/>
    <x v="2"/>
    <x v="0"/>
    <x v="1"/>
    <s v="-"/>
    <x v="0"/>
    <x v="0"/>
    <x v="2"/>
    <n v="20"/>
  </r>
  <r>
    <n v="3478"/>
    <s v="João Pereira"/>
    <x v="1"/>
    <x v="246"/>
    <x v="0"/>
    <x v="1"/>
    <x v="1"/>
    <x v="1"/>
    <s v="-"/>
    <x v="1"/>
    <x v="1"/>
    <x v="1"/>
    <n v="5"/>
  </r>
  <r>
    <n v="3479"/>
    <s v="Klara Silva"/>
    <x v="0"/>
    <x v="247"/>
    <x v="1"/>
    <x v="0"/>
    <x v="0"/>
    <x v="0"/>
    <n v="30"/>
    <x v="0"/>
    <x v="0"/>
    <x v="7"/>
    <n v="45"/>
  </r>
  <r>
    <n v="3480"/>
    <s v="Luciana Barros"/>
    <x v="2"/>
    <x v="248"/>
    <x v="0"/>
    <x v="2"/>
    <x v="2"/>
    <x v="1"/>
    <s v="-"/>
    <x v="0"/>
    <x v="0"/>
    <x v="6"/>
    <n v="15"/>
  </r>
  <r>
    <n v="3481"/>
    <s v="Marcos Gomes"/>
    <x v="1"/>
    <x v="249"/>
    <x v="1"/>
    <x v="1"/>
    <x v="0"/>
    <x v="1"/>
    <s v="-"/>
    <x v="1"/>
    <x v="1"/>
    <x v="4"/>
    <n v="4"/>
  </r>
  <r>
    <n v="3482"/>
    <s v="Natália Soares"/>
    <x v="0"/>
    <x v="250"/>
    <x v="0"/>
    <x v="0"/>
    <x v="1"/>
    <x v="0"/>
    <n v="30"/>
    <x v="0"/>
    <x v="0"/>
    <x v="3"/>
    <n v="62"/>
  </r>
  <r>
    <n v="3483"/>
    <s v="Oscar Machado"/>
    <x v="2"/>
    <x v="251"/>
    <x v="1"/>
    <x v="2"/>
    <x v="0"/>
    <x v="1"/>
    <s v="-"/>
    <x v="0"/>
    <x v="0"/>
    <x v="2"/>
    <n v="20"/>
  </r>
  <r>
    <n v="3484"/>
    <s v="Patrícia Lima"/>
    <x v="1"/>
    <x v="252"/>
    <x v="0"/>
    <x v="1"/>
    <x v="2"/>
    <x v="1"/>
    <s v="-"/>
    <x v="1"/>
    <x v="1"/>
    <x v="1"/>
    <n v="5"/>
  </r>
  <r>
    <n v="3485"/>
    <s v="Quirino Neto"/>
    <x v="0"/>
    <x v="253"/>
    <x v="1"/>
    <x v="0"/>
    <x v="0"/>
    <x v="0"/>
    <n v="30"/>
    <x v="0"/>
    <x v="0"/>
    <x v="6"/>
    <n v="50"/>
  </r>
  <r>
    <n v="3486"/>
    <s v="Rafaela Souza"/>
    <x v="1"/>
    <x v="254"/>
    <x v="0"/>
    <x v="1"/>
    <x v="0"/>
    <x v="1"/>
    <s v="-"/>
    <x v="1"/>
    <x v="1"/>
    <x v="1"/>
    <n v="5"/>
  </r>
  <r>
    <n v="3487"/>
    <s v="Sandro Almeida"/>
    <x v="0"/>
    <x v="255"/>
    <x v="1"/>
    <x v="0"/>
    <x v="2"/>
    <x v="0"/>
    <n v="30"/>
    <x v="0"/>
    <x v="0"/>
    <x v="10"/>
    <n v="58"/>
  </r>
  <r>
    <n v="3488"/>
    <s v="Tânia Ribeiro"/>
    <x v="2"/>
    <x v="256"/>
    <x v="0"/>
    <x v="2"/>
    <x v="1"/>
    <x v="1"/>
    <s v="-"/>
    <x v="0"/>
    <x v="0"/>
    <x v="2"/>
    <n v="20"/>
  </r>
  <r>
    <n v="3489"/>
    <s v="Ugo Dias"/>
    <x v="1"/>
    <x v="257"/>
    <x v="1"/>
    <x v="1"/>
    <x v="2"/>
    <x v="1"/>
    <s v="-"/>
    <x v="1"/>
    <x v="1"/>
    <x v="4"/>
    <n v="4"/>
  </r>
  <r>
    <n v="3490"/>
    <s v="Valéria Lima"/>
    <x v="0"/>
    <x v="258"/>
    <x v="0"/>
    <x v="0"/>
    <x v="0"/>
    <x v="0"/>
    <n v="30"/>
    <x v="0"/>
    <x v="0"/>
    <x v="6"/>
    <n v="50"/>
  </r>
  <r>
    <n v="3491"/>
    <s v="William Fernandes"/>
    <x v="2"/>
    <x v="259"/>
    <x v="1"/>
    <x v="2"/>
    <x v="0"/>
    <x v="1"/>
    <s v="-"/>
    <x v="0"/>
    <x v="0"/>
    <x v="0"/>
    <n v="25"/>
  </r>
  <r>
    <n v="3492"/>
    <s v="Xuxa Mendes"/>
    <x v="1"/>
    <x v="260"/>
    <x v="0"/>
    <x v="1"/>
    <x v="1"/>
    <x v="1"/>
    <s v="-"/>
    <x v="1"/>
    <x v="1"/>
    <x v="1"/>
    <n v="5"/>
  </r>
  <r>
    <n v="3493"/>
    <s v="Ygor Farias"/>
    <x v="0"/>
    <x v="261"/>
    <x v="1"/>
    <x v="0"/>
    <x v="2"/>
    <x v="0"/>
    <n v="30"/>
    <x v="0"/>
    <x v="0"/>
    <x v="7"/>
    <n v="45"/>
  </r>
  <r>
    <n v="3494"/>
    <s v="Zilda Barros"/>
    <x v="2"/>
    <x v="262"/>
    <x v="0"/>
    <x v="2"/>
    <x v="2"/>
    <x v="1"/>
    <s v="-"/>
    <x v="0"/>
    <x v="0"/>
    <x v="9"/>
    <n v="18"/>
  </r>
  <r>
    <n v="3495"/>
    <s v="Amanda Santos"/>
    <x v="1"/>
    <x v="263"/>
    <x v="1"/>
    <x v="1"/>
    <x v="0"/>
    <x v="1"/>
    <s v="-"/>
    <x v="1"/>
    <x v="1"/>
    <x v="5"/>
    <n v="3"/>
  </r>
  <r>
    <n v="3496"/>
    <s v="Bruno Costa"/>
    <x v="0"/>
    <x v="264"/>
    <x v="0"/>
    <x v="0"/>
    <x v="1"/>
    <x v="0"/>
    <n v="30"/>
    <x v="0"/>
    <x v="0"/>
    <x v="0"/>
    <n v="60"/>
  </r>
  <r>
    <n v="3497"/>
    <s v="Carla Rodrigues"/>
    <x v="2"/>
    <x v="265"/>
    <x v="1"/>
    <x v="2"/>
    <x v="0"/>
    <x v="1"/>
    <s v="-"/>
    <x v="0"/>
    <x v="0"/>
    <x v="2"/>
    <n v="20"/>
  </r>
  <r>
    <n v="3498"/>
    <s v="Diogo Pereira"/>
    <x v="1"/>
    <x v="266"/>
    <x v="0"/>
    <x v="1"/>
    <x v="2"/>
    <x v="1"/>
    <s v="-"/>
    <x v="1"/>
    <x v="1"/>
    <x v="1"/>
    <n v="5"/>
  </r>
  <r>
    <n v="3499"/>
    <s v="Elisa Correia"/>
    <x v="0"/>
    <x v="267"/>
    <x v="1"/>
    <x v="0"/>
    <x v="0"/>
    <x v="0"/>
    <n v="30"/>
    <x v="0"/>
    <x v="0"/>
    <x v="3"/>
    <n v="62"/>
  </r>
  <r>
    <n v="3500"/>
    <s v="Fábio Lourenço"/>
    <x v="2"/>
    <x v="268"/>
    <x v="0"/>
    <x v="2"/>
    <x v="1"/>
    <x v="1"/>
    <s v="-"/>
    <x v="0"/>
    <x v="0"/>
    <x v="6"/>
    <n v="15"/>
  </r>
  <r>
    <n v="3501"/>
    <s v="Gabriela Neves"/>
    <x v="1"/>
    <x v="269"/>
    <x v="1"/>
    <x v="1"/>
    <x v="0"/>
    <x v="1"/>
    <s v="-"/>
    <x v="1"/>
    <x v="1"/>
    <x v="4"/>
    <n v="4"/>
  </r>
  <r>
    <n v="3502"/>
    <s v="Henrique Gonçalves"/>
    <x v="0"/>
    <x v="270"/>
    <x v="0"/>
    <x v="0"/>
    <x v="2"/>
    <x v="0"/>
    <n v="30"/>
    <x v="0"/>
    <x v="0"/>
    <x v="10"/>
    <n v="58"/>
  </r>
  <r>
    <n v="3503"/>
    <s v="Íris Santos"/>
    <x v="2"/>
    <x v="271"/>
    <x v="1"/>
    <x v="2"/>
    <x v="0"/>
    <x v="1"/>
    <s v="-"/>
    <x v="0"/>
    <x v="0"/>
    <x v="2"/>
    <n v="20"/>
  </r>
  <r>
    <n v="3504"/>
    <s v="João Marcelo Alves"/>
    <x v="1"/>
    <x v="272"/>
    <x v="0"/>
    <x v="1"/>
    <x v="1"/>
    <x v="1"/>
    <s v="-"/>
    <x v="1"/>
    <x v="1"/>
    <x v="1"/>
    <n v="5"/>
  </r>
  <r>
    <n v="3505"/>
    <s v="Klara Fonseca"/>
    <x v="0"/>
    <x v="273"/>
    <x v="1"/>
    <x v="0"/>
    <x v="0"/>
    <x v="0"/>
    <n v="30"/>
    <x v="0"/>
    <x v="0"/>
    <x v="7"/>
    <n v="45"/>
  </r>
  <r>
    <n v="3506"/>
    <s v="Lucas Mendonça"/>
    <x v="2"/>
    <x v="274"/>
    <x v="0"/>
    <x v="2"/>
    <x v="2"/>
    <x v="1"/>
    <s v="-"/>
    <x v="0"/>
    <x v="0"/>
    <x v="6"/>
    <n v="15"/>
  </r>
  <r>
    <n v="3507"/>
    <s v="Marcela Torres"/>
    <x v="1"/>
    <x v="275"/>
    <x v="1"/>
    <x v="1"/>
    <x v="0"/>
    <x v="1"/>
    <s v="-"/>
    <x v="1"/>
    <x v="1"/>
    <x v="4"/>
    <n v="4"/>
  </r>
  <r>
    <n v="3508"/>
    <s v="Natália Castro"/>
    <x v="0"/>
    <x v="276"/>
    <x v="0"/>
    <x v="0"/>
    <x v="1"/>
    <x v="0"/>
    <n v="30"/>
    <x v="0"/>
    <x v="0"/>
    <x v="3"/>
    <n v="62"/>
  </r>
  <r>
    <n v="3509"/>
    <s v="Oscar Martins"/>
    <x v="2"/>
    <x v="277"/>
    <x v="1"/>
    <x v="2"/>
    <x v="0"/>
    <x v="1"/>
    <s v="-"/>
    <x v="0"/>
    <x v="0"/>
    <x v="2"/>
    <n v="20"/>
  </r>
  <r>
    <n v="3510"/>
    <s v="Patrícia Oliveira"/>
    <x v="1"/>
    <x v="278"/>
    <x v="0"/>
    <x v="1"/>
    <x v="2"/>
    <x v="1"/>
    <s v="-"/>
    <x v="1"/>
    <x v="1"/>
    <x v="1"/>
    <n v="5"/>
  </r>
  <r>
    <n v="3511"/>
    <s v="Quentin Nogueira"/>
    <x v="0"/>
    <x v="279"/>
    <x v="1"/>
    <x v="0"/>
    <x v="0"/>
    <x v="0"/>
    <n v="30"/>
    <x v="0"/>
    <x v="0"/>
    <x v="6"/>
    <n v="50"/>
  </r>
  <r>
    <n v="3512"/>
    <s v="Raquel Silva"/>
    <x v="2"/>
    <x v="280"/>
    <x v="0"/>
    <x v="2"/>
    <x v="1"/>
    <x v="1"/>
    <s v="-"/>
    <x v="0"/>
    <x v="0"/>
    <x v="6"/>
    <n v="15"/>
  </r>
  <r>
    <n v="3513"/>
    <s v="Sandro Gomes"/>
    <x v="1"/>
    <x v="281"/>
    <x v="1"/>
    <x v="1"/>
    <x v="0"/>
    <x v="1"/>
    <s v="-"/>
    <x v="1"/>
    <x v="1"/>
    <x v="4"/>
    <n v="4"/>
  </r>
  <r>
    <n v="3514"/>
    <s v="Tânia Machado"/>
    <x v="0"/>
    <x v="282"/>
    <x v="0"/>
    <x v="0"/>
    <x v="2"/>
    <x v="0"/>
    <n v="30"/>
    <x v="0"/>
    <x v="0"/>
    <x v="10"/>
    <n v="58"/>
  </r>
  <r>
    <n v="3515"/>
    <s v="Ursula Silva"/>
    <x v="2"/>
    <x v="283"/>
    <x v="1"/>
    <x v="2"/>
    <x v="0"/>
    <x v="1"/>
    <s v="-"/>
    <x v="0"/>
    <x v="0"/>
    <x v="2"/>
    <n v="20"/>
  </r>
  <r>
    <n v="3516"/>
    <s v="Vanessa Moraes"/>
    <x v="1"/>
    <x v="284"/>
    <x v="0"/>
    <x v="1"/>
    <x v="1"/>
    <x v="1"/>
    <s v="-"/>
    <x v="1"/>
    <x v="1"/>
    <x v="1"/>
    <n v="5"/>
  </r>
  <r>
    <n v="3517"/>
    <s v="William Carvalho"/>
    <x v="0"/>
    <x v="285"/>
    <x v="1"/>
    <x v="0"/>
    <x v="0"/>
    <x v="0"/>
    <n v="30"/>
    <x v="0"/>
    <x v="0"/>
    <x v="7"/>
    <n v="45"/>
  </r>
  <r>
    <n v="3518"/>
    <s v="Xavier Reis"/>
    <x v="2"/>
    <x v="286"/>
    <x v="0"/>
    <x v="2"/>
    <x v="2"/>
    <x v="1"/>
    <s v="-"/>
    <x v="0"/>
    <x v="0"/>
    <x v="9"/>
    <n v="18"/>
  </r>
  <r>
    <n v="3519"/>
    <s v="Yasmin Rocha"/>
    <x v="1"/>
    <x v="287"/>
    <x v="1"/>
    <x v="1"/>
    <x v="0"/>
    <x v="1"/>
    <s v="-"/>
    <x v="1"/>
    <x v="1"/>
    <x v="5"/>
    <n v="3"/>
  </r>
  <r>
    <n v="3520"/>
    <s v="Zacarias Duarte"/>
    <x v="0"/>
    <x v="288"/>
    <x v="0"/>
    <x v="0"/>
    <x v="1"/>
    <x v="0"/>
    <n v="30"/>
    <x v="0"/>
    <x v="0"/>
    <x v="0"/>
    <n v="60"/>
  </r>
  <r>
    <n v="3521"/>
    <s v="Amanda Freitas"/>
    <x v="2"/>
    <x v="289"/>
    <x v="1"/>
    <x v="2"/>
    <x v="0"/>
    <x v="1"/>
    <s v="-"/>
    <x v="0"/>
    <x v="0"/>
    <x v="2"/>
    <n v="20"/>
  </r>
  <r>
    <n v="3522"/>
    <s v="Bruno Almeida"/>
    <x v="1"/>
    <x v="290"/>
    <x v="0"/>
    <x v="1"/>
    <x v="2"/>
    <x v="1"/>
    <s v="-"/>
    <x v="1"/>
    <x v="1"/>
    <x v="1"/>
    <n v="5"/>
  </r>
  <r>
    <n v="3523"/>
    <s v="Carla Siqueira"/>
    <x v="0"/>
    <x v="291"/>
    <x v="1"/>
    <x v="0"/>
    <x v="0"/>
    <x v="0"/>
    <n v="30"/>
    <x v="0"/>
    <x v="0"/>
    <x v="3"/>
    <n v="62"/>
  </r>
  <r>
    <n v="3524"/>
    <s v="Diogo Ramos"/>
    <x v="2"/>
    <x v="292"/>
    <x v="0"/>
    <x v="2"/>
    <x v="1"/>
    <x v="1"/>
    <s v="-"/>
    <x v="0"/>
    <x v="0"/>
    <x v="6"/>
    <n v="15"/>
  </r>
  <r>
    <n v="3525"/>
    <s v="Elisa Magalhães"/>
    <x v="1"/>
    <x v="293"/>
    <x v="1"/>
    <x v="1"/>
    <x v="0"/>
    <x v="1"/>
    <s v="-"/>
    <x v="1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144F5-8622-4B54-B03E-1DE77D6D0EB4}" name="Tabela dinâmica3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>
  <location ref="R10:S14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07F7D-D03E-437E-B2CF-633622BB0B34}" name="Tabela dinâmica2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>
  <location ref="N10:O14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25813-0E13-4AE3-B6BF-A59D862D24FB}" name="Tabela dinâmica1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7">
  <location ref="B11:C14" firstHeaderRow="1" firstDataRow="1" firstDataCol="1" rowPageCount="1" colPageCount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2">
      <pivotArea outline="0" collapsedLevelsAreSubtotals="1" fieldPosition="0"/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C97E3-B4D0-4E87-B67E-F689CB7CFCEE}" name="Tabela dinâmica6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12">
  <location ref="AD9:AD22" firstHeaderRow="1" firstDataRow="1" firstDataCol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axis="axisRow" showAll="0">
      <items count="15">
        <item sd="0" x="0"/>
        <item sd="0" x="1"/>
        <item sd="0" x="2"/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formats count="1">
    <format dxfId="3">
      <pivotArea outline="0" collapsedLevelsAreSubtotals="1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5026C-A82C-4BF3-8139-4970768F4516}" name="Tabela dinâmica5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12">
  <location ref="AA9:AB13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dataField="1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Contagem de Subscription Type" fld="6" subtotal="count" baseField="0" baseItem="0"/>
  </dataFields>
  <formats count="1">
    <format dxfId="4">
      <pivotArea outline="0" collapsedLevelsAreSubtotals="1" fieldPosition="0"/>
    </format>
  </format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00CD0-042A-4099-B7A8-44B5CE353039}" name="Tabela dinâmica4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5">
  <location ref="W10:X13" firstHeaderRow="1" firstDataRow="1" firstDataCol="1" rowPageCount="1" colPageCount="1"/>
  <pivotFields count="14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dataField="1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Quantidade Auto Renewal" fld="4" subtotal="count" baseField="0" baseItem="0" numFmtId="2"/>
  </dataFields>
  <formats count="1">
    <format dxfId="5">
      <pivotArea outline="0" collapsedLevelsAreSubtotals="1" fieldPosition="0"/>
    </format>
  </formats>
  <chartFormats count="3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0D772A5-7E6B-4763-883F-1FDF9E5B90C0}" sourceName="Subscription Type">
  <pivotTables>
    <pivotTable tabId="3" name="Tabela dinâmica4"/>
    <pivotTable tabId="3" name="Tabela dinâmica1"/>
    <pivotTable tabId="3" name="Tabela dinâmica2"/>
    <pivotTable tabId="3" name="Tabela dinâmica3"/>
    <pivotTable tabId="3" name="Tabela dinâmica5"/>
    <pivotTable tabId="3" name="Tabela dinâmica6"/>
  </pivotTables>
  <data>
    <tabular pivotCacheId="2056003573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0E9A8F49-AF76-40A3-AB34-4F7CA7FEED14}" sourceName="Plan">
  <pivotTables>
    <pivotTable tabId="3" name="Tabela dinâmica3"/>
    <pivotTable tabId="3" name="Tabela dinâmica1"/>
    <pivotTable tabId="3" name="Tabela dinâmica2"/>
    <pivotTable tabId="3" name="Tabela dinâmica4"/>
    <pivotTable tabId="3" name="Tabela dinâmica5"/>
    <pivotTable tabId="3" name="Tabela dinâmica6"/>
  </pivotTables>
  <data>
    <tabular pivotCacheId="2056003573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20CEE062-28F4-4571-995E-AEEFCE93DC86}" sourceName="EA Play Season Pass">
  <pivotTables>
    <pivotTable tabId="3" name="Tabela dinâmica6"/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data>
    <tabular pivotCacheId="2056003573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8989CF94-6A8E-4341-B263-DF3455CB0DAD}" sourceName="Minecraft Season Pass">
  <pivotTables>
    <pivotTable tabId="3" name="Tabela dinâmica6"/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data>
    <tabular pivotCacheId="205600357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BC7E5DF-3F76-48B5-9F9F-D43E5A5CB80A}" cache="SegmentaçãodeDados_Subscription_Type" caption="Subscription Type" style="PadrãoXbpx" rowHeight="241300"/>
  <slicer name="Plan" xr10:uid="{3EAFDD46-9908-4D64-8F3E-F0188A8B5BE7}" cache="SegmentaçãodeDados_Plan" caption="Plan" style="PadrãoXbpx" rowHeight="241300"/>
  <slicer name="EA Play S. Pass" xr10:uid="{6DFEE1C2-4109-4BBD-8144-7228158E1CAA}" cache="SegmentaçãodeDados_EA_Play_Season_Pass" caption="EA Play S. Pass" style="PadrãoXbpx" rowHeight="241300"/>
  <slicer name="Minecraft S. Pass" xr10:uid="{77EA95BC-F84E-4220-85CB-9A26AF2B4FF4}" cache="SegmentaçãodeDados_Minecraft_Season_Pass" caption="Minecraft S. Pass" style="PadrãoXbpx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240F5F09-AA9D-403A-9092-07868D561667}"/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tart_Date" xr10:uid="{99AF6038-8F74-4821-954E-387C9443BD87}" sourceName="Start Date">
  <pivotTables>
    <pivotTable tabId="3" name="Tabela dinâmica6"/>
    <pivotTable tabId="3" name="Tabela dinâmica1"/>
    <pivotTable tabId="3" name="Tabela dinâmica2"/>
    <pivotTable tabId="3" name="Tabela dinâmica3"/>
    <pivotTable tabId="3" name="Tabela dinâmica4"/>
    <pivotTable tabId="3" name="Tabela dinâmica5"/>
  </pivotTables>
  <state minimalRefreshVersion="6" lastRefreshVersion="6" pivotCacheId="2056003573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" xr10:uid="{551CCE11-CF0F-4EE8-AD5E-86DD5E56BC1B}" cache="NativeTimeline_Start_Date" caption="Start Date" level="1" selectionLevel="1" scrollPosition="2024-01-01T00:00:00" style="TimeSlicerStyleLight6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C23" sqref="C23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C23" sqref="C2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311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/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/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/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t="str">
        <f>UPPER(B7)</f>
        <v>FELIPE COSTA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/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/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/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/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/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/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/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/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/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/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/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/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/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/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/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/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/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/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/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/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/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/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/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/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/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/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/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/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/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/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/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/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/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/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/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/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/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/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/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/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/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/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/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/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/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/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/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/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/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/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/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/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/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/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/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/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/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/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/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/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/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/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/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/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/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/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/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/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/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/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/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/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/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/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/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/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/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/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/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/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/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/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/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/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/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/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/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/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/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/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/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/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/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/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/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/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/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/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/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/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/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/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/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/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/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/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/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/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/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/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/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/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/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/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/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/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/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/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/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/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/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/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/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/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/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/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/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/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/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/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/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/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/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/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/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/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/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/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/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/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/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/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/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/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/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/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/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/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/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/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/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/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/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/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/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/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/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/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/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/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/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/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/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/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/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/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/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/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/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/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/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/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/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/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/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/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/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/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/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/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/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/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/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/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/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/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/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/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/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/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/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/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/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/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AD22"/>
  <sheetViews>
    <sheetView showGridLines="0" topLeftCell="U1" workbookViewId="0">
      <selection activeCell="U5" sqref="U5"/>
    </sheetView>
  </sheetViews>
  <sheetFormatPr defaultRowHeight="14.25"/>
  <cols>
    <col min="2" max="2" width="18" bestFit="1" customWidth="1"/>
    <col min="3" max="3" width="19.125" bestFit="1" customWidth="1"/>
    <col min="4" max="4" width="4.875" bestFit="1" customWidth="1"/>
    <col min="5" max="5" width="10.75" bestFit="1" customWidth="1"/>
    <col min="6" max="9" width="8.5" bestFit="1" customWidth="1"/>
    <col min="10" max="12" width="9.5" bestFit="1" customWidth="1"/>
    <col min="13" max="13" width="9.5" style="15" bestFit="1" customWidth="1"/>
    <col min="14" max="14" width="18" bestFit="1" customWidth="1"/>
    <col min="15" max="15" width="27.875" bestFit="1" customWidth="1"/>
    <col min="16" max="16" width="15.625" bestFit="1" customWidth="1"/>
    <col min="17" max="17" width="12.125" style="15" bestFit="1" customWidth="1"/>
    <col min="18" max="18" width="18" bestFit="1" customWidth="1"/>
    <col min="19" max="19" width="35.125" bestFit="1" customWidth="1"/>
    <col min="21" max="21" width="12" bestFit="1" customWidth="1"/>
    <col min="22" max="22" width="9" style="15"/>
    <col min="23" max="23" width="18" bestFit="1" customWidth="1"/>
    <col min="24" max="24" width="24.125" bestFit="1" customWidth="1"/>
    <col min="25" max="25" width="19.125" bestFit="1" customWidth="1"/>
    <col min="26" max="26" width="19.125" style="15" bestFit="1" customWidth="1"/>
    <col min="27" max="27" width="18" bestFit="1" customWidth="1"/>
    <col min="28" max="28" width="29.875" bestFit="1" customWidth="1"/>
    <col min="29" max="29" width="24.25" bestFit="1" customWidth="1"/>
    <col min="30" max="30" width="18" bestFit="1" customWidth="1"/>
    <col min="31" max="39" width="19.5" bestFit="1" customWidth="1"/>
    <col min="40" max="40" width="10.75" bestFit="1" customWidth="1"/>
    <col min="41" max="43" width="6.125" bestFit="1" customWidth="1"/>
    <col min="44" max="44" width="8.625" bestFit="1" customWidth="1"/>
    <col min="45" max="47" width="5.5" bestFit="1" customWidth="1"/>
    <col min="48" max="48" width="8" bestFit="1" customWidth="1"/>
    <col min="49" max="51" width="6.625" bestFit="1" customWidth="1"/>
    <col min="52" max="52" width="9.125" bestFit="1" customWidth="1"/>
    <col min="53" max="55" width="6.125" bestFit="1" customWidth="1"/>
    <col min="56" max="56" width="8.625" bestFit="1" customWidth="1"/>
    <col min="57" max="59" width="6.25" bestFit="1" customWidth="1"/>
    <col min="60" max="60" width="8.75" bestFit="1" customWidth="1"/>
    <col min="61" max="62" width="6.75" bestFit="1" customWidth="1"/>
    <col min="63" max="63" width="9.25" bestFit="1" customWidth="1"/>
    <col min="64" max="65" width="6.625" bestFit="1" customWidth="1"/>
    <col min="66" max="66" width="9.125" bestFit="1" customWidth="1"/>
    <col min="67" max="67" width="10.75" bestFit="1" customWidth="1"/>
  </cols>
  <sheetData>
    <row r="5" spans="2:30" ht="15">
      <c r="B5" t="s">
        <v>312</v>
      </c>
      <c r="N5" s="14" t="s">
        <v>318</v>
      </c>
      <c r="P5" s="21">
        <f>GETPIVOTDATA("EA Play Season Pass
Price",$N$10)</f>
        <v>2940</v>
      </c>
      <c r="R5" s="14" t="s">
        <v>320</v>
      </c>
      <c r="U5" s="21">
        <f>GETPIVOTDATA("Minecraft Season Pass Price",$R$10)</f>
        <v>3880</v>
      </c>
      <c r="W5" s="14" t="s">
        <v>323</v>
      </c>
      <c r="AA5" s="14" t="s">
        <v>325</v>
      </c>
    </row>
    <row r="6" spans="2:30" ht="15">
      <c r="B6" t="s">
        <v>313</v>
      </c>
    </row>
    <row r="7" spans="2:30">
      <c r="AA7" s="12" t="s">
        <v>16</v>
      </c>
      <c r="AB7" t="s">
        <v>315</v>
      </c>
    </row>
    <row r="8" spans="2:30">
      <c r="N8" s="12" t="s">
        <v>16</v>
      </c>
      <c r="O8" t="s">
        <v>315</v>
      </c>
      <c r="R8" s="12" t="s">
        <v>16</v>
      </c>
      <c r="S8" t="s">
        <v>315</v>
      </c>
      <c r="W8" s="12" t="s">
        <v>16</v>
      </c>
      <c r="X8" t="s">
        <v>315</v>
      </c>
    </row>
    <row r="9" spans="2:30">
      <c r="B9" s="12" t="s">
        <v>16</v>
      </c>
      <c r="C9" t="s">
        <v>315</v>
      </c>
      <c r="AA9" s="12" t="s">
        <v>317</v>
      </c>
      <c r="AB9" t="s">
        <v>326</v>
      </c>
      <c r="AD9" s="12" t="s">
        <v>317</v>
      </c>
    </row>
    <row r="10" spans="2:30">
      <c r="N10" s="12" t="s">
        <v>317</v>
      </c>
      <c r="O10" t="s">
        <v>319</v>
      </c>
      <c r="R10" s="12" t="s">
        <v>317</v>
      </c>
      <c r="S10" t="s">
        <v>321</v>
      </c>
      <c r="W10" s="12" t="s">
        <v>317</v>
      </c>
      <c r="X10" t="s">
        <v>322</v>
      </c>
      <c r="AA10" s="14" t="s">
        <v>22</v>
      </c>
      <c r="AB10" s="16">
        <v>101</v>
      </c>
      <c r="AD10" s="14" t="s">
        <v>337</v>
      </c>
    </row>
    <row r="11" spans="2:30">
      <c r="B11" s="12" t="s">
        <v>317</v>
      </c>
      <c r="C11" t="s">
        <v>316</v>
      </c>
      <c r="N11" s="14" t="s">
        <v>22</v>
      </c>
      <c r="O11" s="13">
        <v>0</v>
      </c>
      <c r="R11" s="14" t="s">
        <v>22</v>
      </c>
      <c r="S11" s="13">
        <v>0</v>
      </c>
      <c r="W11" s="14" t="s">
        <v>23</v>
      </c>
      <c r="X11" s="16">
        <v>147</v>
      </c>
      <c r="AA11" s="14" t="s">
        <v>26</v>
      </c>
      <c r="AB11" s="16">
        <v>96</v>
      </c>
      <c r="AD11" s="14" t="s">
        <v>338</v>
      </c>
    </row>
    <row r="12" spans="2:30">
      <c r="B12" s="14" t="s">
        <v>23</v>
      </c>
      <c r="C12" s="13">
        <v>3847</v>
      </c>
      <c r="N12" s="14" t="s">
        <v>26</v>
      </c>
      <c r="O12" s="13">
        <v>0</v>
      </c>
      <c r="R12" s="14" t="s">
        <v>26</v>
      </c>
      <c r="S12" s="13">
        <v>1920</v>
      </c>
      <c r="W12" s="14" t="s">
        <v>19</v>
      </c>
      <c r="X12" s="16">
        <v>148</v>
      </c>
      <c r="AA12" s="14" t="s">
        <v>18</v>
      </c>
      <c r="AB12" s="16">
        <v>98</v>
      </c>
      <c r="AD12" s="14" t="s">
        <v>327</v>
      </c>
    </row>
    <row r="13" spans="2:30">
      <c r="B13" s="14" t="s">
        <v>19</v>
      </c>
      <c r="C13" s="13">
        <v>3786</v>
      </c>
      <c r="N13" s="14" t="s">
        <v>18</v>
      </c>
      <c r="O13" s="13">
        <v>2940</v>
      </c>
      <c r="R13" s="14" t="s">
        <v>18</v>
      </c>
      <c r="S13" s="13">
        <v>1960</v>
      </c>
      <c r="W13" s="14" t="s">
        <v>314</v>
      </c>
      <c r="X13" s="16">
        <v>295</v>
      </c>
      <c r="AA13" s="14" t="s">
        <v>314</v>
      </c>
      <c r="AB13" s="16">
        <v>295</v>
      </c>
      <c r="AD13" s="14" t="s">
        <v>328</v>
      </c>
    </row>
    <row r="14" spans="2:30">
      <c r="B14" s="14" t="s">
        <v>314</v>
      </c>
      <c r="C14" s="13">
        <v>7633</v>
      </c>
      <c r="N14" s="14" t="s">
        <v>314</v>
      </c>
      <c r="O14" s="13">
        <v>2940</v>
      </c>
      <c r="R14" s="14" t="s">
        <v>314</v>
      </c>
      <c r="S14" s="13">
        <v>3880</v>
      </c>
      <c r="AD14" s="14" t="s">
        <v>329</v>
      </c>
    </row>
    <row r="15" spans="2:30">
      <c r="AD15" s="14" t="s">
        <v>330</v>
      </c>
    </row>
    <row r="16" spans="2:30">
      <c r="AD16" s="14" t="s">
        <v>331</v>
      </c>
    </row>
    <row r="17" spans="30:30">
      <c r="AD17" s="14" t="s">
        <v>332</v>
      </c>
    </row>
    <row r="18" spans="30:30">
      <c r="AD18" s="14" t="s">
        <v>333</v>
      </c>
    </row>
    <row r="19" spans="30:30">
      <c r="AD19" s="14" t="s">
        <v>334</v>
      </c>
    </row>
    <row r="20" spans="30:30">
      <c r="AD20" s="14" t="s">
        <v>335</v>
      </c>
    </row>
    <row r="21" spans="30:30">
      <c r="AD21" s="14" t="s">
        <v>336</v>
      </c>
    </row>
    <row r="22" spans="30:30">
      <c r="AD22" s="14" t="s">
        <v>314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EL1048560"/>
  <sheetViews>
    <sheetView showGridLines="0" showRowColHeaders="0" tabSelected="1" zoomScale="80" zoomScaleNormal="80" workbookViewId="0">
      <selection activeCell="R5" sqref="R5"/>
    </sheetView>
  </sheetViews>
  <sheetFormatPr defaultRowHeight="14.25"/>
  <cols>
    <col min="1" max="1" width="25.875" style="18" customWidth="1"/>
    <col min="2" max="2" width="3.625" style="17" customWidth="1"/>
    <col min="3" max="11" width="9" style="17"/>
    <col min="12" max="12" width="6.625" style="17" customWidth="1"/>
    <col min="13" max="52" width="9" style="17"/>
  </cols>
  <sheetData>
    <row r="1" spans="2:52" ht="19.5" customHeight="1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2:52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2:52" ht="24.75" thickBot="1">
      <c r="B3"/>
      <c r="C3"/>
      <c r="D3" s="20" t="s">
        <v>324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2:52" ht="15" thickTop="1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2:52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2:52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11" spans="2:52">
      <c r="C11" s="7"/>
    </row>
    <row r="1048560" spans="16366:16366">
      <c r="XEL1048560" s="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19483571-f922-4e8e-9c1c-26f0a2252132"/>
    <ds:schemaRef ds:uri="http://purl.org/dc/terms/"/>
    <ds:schemaRef ds:uri="http://schemas.microsoft.com/office/2006/documentManagement/types"/>
    <ds:schemaRef ds:uri="http://schemas.microsoft.com/office/infopath/2007/PartnerControls"/>
    <ds:schemaRef ds:uri="851b35d3-0456-4d6a-bc2f-da927e91d15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José Gabriel dos Passos Silva</cp:lastModifiedBy>
  <dcterms:created xsi:type="dcterms:W3CDTF">2024-12-19T13:13:10Z</dcterms:created>
  <dcterms:modified xsi:type="dcterms:W3CDTF">2026-05-03T22:45:18Z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